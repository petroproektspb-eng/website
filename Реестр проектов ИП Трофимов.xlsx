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$er\Desktop\Для партфолио\"/>
    </mc:Choice>
  </mc:AlternateContent>
  <xr:revisionPtr revIDLastSave="0" documentId="13_ncr:1_{6F5DB547-8C9B-455D-98F6-FB8C86CF34C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📋 Портфолио" sheetId="1" r:id="rId1"/>
    <sheet name="Что входит в полный цикл" sheetId="2" r:id="rId2"/>
  </sheets>
  <definedNames>
    <definedName name="_xlnm._FilterDatabase" localSheetId="1" hidden="1">'Что входит в полный цикл'!$A$1:$A$12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2" i="1" l="1"/>
  <c r="M72" i="1"/>
  <c r="L72" i="1"/>
  <c r="K72" i="1"/>
  <c r="J72" i="1"/>
  <c r="I72" i="1"/>
</calcChain>
</file>

<file path=xl/sharedStrings.xml><?xml version="1.0" encoding="utf-8"?>
<sst xmlns="http://schemas.openxmlformats.org/spreadsheetml/2006/main" count="416" uniqueCount="246">
  <si>
    <t>Нефтегаз  ·  Горнорудная  ·  Металлургия  ·  ЦБП  ·  Химия  ·  Пищевая  ·  Гражданское строительство</t>
  </si>
  <si>
    <t>№</t>
  </si>
  <si>
    <t>Отрасль</t>
  </si>
  <si>
    <t>Заказчик</t>
  </si>
  <si>
    <t>Объект</t>
  </si>
  <si>
    <t>Год</t>
  </si>
  <si>
    <t>Шкафы
управления</t>
  </si>
  <si>
    <t>Греющие
элементы</t>
  </si>
  <si>
    <t>Греющий
кабель, м</t>
  </si>
  <si>
    <t>Панели,
шт</t>
  </si>
  <si>
    <t>Силовой
кабель, м</t>
  </si>
  <si>
    <t>Контрольный
кабель, м</t>
  </si>
  <si>
    <t>Коробки,
шт</t>
  </si>
  <si>
    <t>Лотки /
конструкции, м</t>
  </si>
  <si>
    <t>⛽ Нефтегаз</t>
  </si>
  <si>
    <t>ООО "ЛУКОЙЛ-Нижегороднефтеоргсинтез"</t>
  </si>
  <si>
    <t>Здание КПУ. ЦЗЛ (Электрообогрев водосточной системы)</t>
  </si>
  <si>
    <t>2025</t>
  </si>
  <si>
    <t>ЩУОК IP54 (1 шт)</t>
  </si>
  <si>
    <t>TSA-31P</t>
  </si>
  <si>
    <t>Здание АБК. ЦЗЛ (Электрообогрев водосточной системы)</t>
  </si>
  <si>
    <t>TSA-25P, TSA-26P, TSA-31P</t>
  </si>
  <si>
    <t>⛏ Горнорудная</t>
  </si>
  <si>
    <t>ГМК «Удокан»</t>
  </si>
  <si>
    <t>Межплощадочные сети водоснабжения и водоотведения</t>
  </si>
  <si>
    <t>2021</t>
  </si>
  <si>
    <t>LTS 3x2,5, LTS 3x4,0, TSL-25P</t>
  </si>
  <si>
    <t>ООО "ЛУКОЙЛ-УНП"</t>
  </si>
  <si>
    <t>Цех №3. УПХН и ПТП. Узел приема, хранения и вовлечения присадок</t>
  </si>
  <si>
    <t>2023</t>
  </si>
  <si>
    <t>ШУН-1 IP32 (1 шт)</t>
  </si>
  <si>
    <t>TSS-15F, TSS-30F, TSS-45F</t>
  </si>
  <si>
    <t>Цех №3. УПХН и ПТП. Технологическая эстакада от т.8 до т.28</t>
  </si>
  <si>
    <t>TSS-30F, TSS-45F, TSL-25P, TSL-33P</t>
  </si>
  <si>
    <t>Угольный терминал МТП "Усть-Луга"</t>
  </si>
  <si>
    <t>Бункеры ПС1-ПС6, ПС8, ПС9</t>
  </si>
  <si>
    <t>2017</t>
  </si>
  <si>
    <t>ЩУЭ1 (1 шт), ЩУЭ2 (1 шт), ЩУЭ3 (1 шт), ЩУЭ4 (1 шт), ЩУЭ5 (1 шт), ЩУЭ8 (1 шт), ЩУЭ9 (1 шт), ЩУЭ10 (1 шт)</t>
  </si>
  <si>
    <t>HT MODULE A612-16, A624-16, A636-16, B612-16, B624-16, B636-16</t>
  </si>
  <si>
    <t>ЗАО «Иреляхнефть»</t>
  </si>
  <si>
    <t>ПСП и узел подключения ПСП на НПС №12</t>
  </si>
  <si>
    <t>2016</t>
  </si>
  <si>
    <t>ШУО1 (1 шт), ШУО2 (1 шт), ШУО3 (1 шт), ШУО4 (1 шт), ШУО5 (1 шт), ШУО6 (1 шт)</t>
  </si>
  <si>
    <t>BSX 8-2, BSX 10-2, HTSX 9-2, HTSX 12-2, HTSX 15-2, TESH 10, TESH 11.7, TESH 17.8</t>
  </si>
  <si>
    <t>ОА "Газпромнефть МЗСМ"</t>
  </si>
  <si>
    <t>Площадка присадок на Площадке по хранению и перевалке нефтепродуктов</t>
  </si>
  <si>
    <t>2020</t>
  </si>
  <si>
    <t>HTSX 15-2</t>
  </si>
  <si>
    <t>🌲 ЦБП</t>
  </si>
  <si>
    <t>АО «Группа «ИЛИМ»</t>
  </si>
  <si>
    <t>Вакуум-выпарная станция №8 (ВВУ №8), г. Братск</t>
  </si>
  <si>
    <t>2019</t>
  </si>
  <si>
    <t>ШУЭ1 IP44 (1 шт)</t>
  </si>
  <si>
    <t>BSX 5-2, BSX 8-2, BSX 10-2, HTSX 6-2, HTSX 9-2, HTSX 12-2, HTSX 15-2, HTSX 20-2, HPT 15-2, TESH 50, TESH 100</t>
  </si>
  <si>
    <t>⚙ Металлургия</t>
  </si>
  <si>
    <t>ПAO «Новолипецкий металлургический комбинат»</t>
  </si>
  <si>
    <t>ДЦ-2 Здания бункерной эстакады и погрузочных бункеров мелочи</t>
  </si>
  <si>
    <t>HT MODULE A212-16, A224-16, A236-16, A248-16, A612-16, A624-16, A636-16, A648-16</t>
  </si>
  <si>
    <t>АО "Группа "Илим" в г. Братске</t>
  </si>
  <si>
    <t>Производственное здание ЗСКЩ №1, ДПЦ (Бункеры щепы и элеваторы)</t>
  </si>
  <si>
    <t>KSR 2-OJ, BSX 10-2-OJ, BSX-10-FOJ</t>
  </si>
  <si>
    <t>АО «Группа «Илим» в г. Усть-Илимске</t>
  </si>
  <si>
    <t>Строительство МЦК (целлюлозно-картонный комбинат)</t>
  </si>
  <si>
    <t>BSX 8-2, BSX 10-2, HTSX 15-2, TESH 7, TESH 15, TESH 17.8, TESH 31.5, TESH 80, TESH 100, TESH 150, TESH 200, TESH 320, RTS 0100, RTS 17R4, RTS 11R9, RTS 04R4</t>
  </si>
  <si>
    <t>АО «Монди Сыктывкарский ЛПК»</t>
  </si>
  <si>
    <t>Строительство новой выпарной станции №5</t>
  </si>
  <si>
    <t>4212-АН-01 IP54 (1 шт), 4213-АН-01 IP54 (1 шт), 4217-АН-01 IP54 (1 шт)</t>
  </si>
  <si>
    <t>HTSX 3-2, HTSX 6-2, HTSX 9-2, HTSX 12-2, HTSX 15-2, HTSX 20-2, TSS-15F, TSS-30F, TSS-45F, TSS-60F, TSL-25F</t>
  </si>
  <si>
    <t>АО "Карельский окатыш"</t>
  </si>
  <si>
    <t>Фабрика СМС-1, ДСК-2, СМС-2</t>
  </si>
  <si>
    <t>ЩУЭ1 IP54 (1 шт), ЩУЭ2 IP54 (1 шт), ЩУЭ3 IP54 (1 шт)</t>
  </si>
  <si>
    <t>HT MODULE B212-16, B224-16, B624-16, А248-16</t>
  </si>
  <si>
    <t>ТОО «ЕвроХим-Каратау»</t>
  </si>
  <si>
    <t>Приемный бункер руды узла среднего дробления</t>
  </si>
  <si>
    <t>ЩУЭ1 IP65 (1 шт)</t>
  </si>
  <si>
    <t>HT MODULE A612-16, A212-16, A224-16</t>
  </si>
  <si>
    <t>ГМК "Удокан"</t>
  </si>
  <si>
    <t>ОФ. Корпус обогащения. Отделение измельчения</t>
  </si>
  <si>
    <t>2024</t>
  </si>
  <si>
    <t>ШУЭ17.1 IP54 (1 шт), ШУЭ17.2 IP54 (1 шт), ШУЭ18.1 IP54 (1 шт), ШУЭ18.2 IP54 (1 шт)</t>
  </si>
  <si>
    <t>TSL-25, TSL-33</t>
  </si>
  <si>
    <t>Водораспределительная насосная станция</t>
  </si>
  <si>
    <t>ШУЭ12 IP54 (1 шт), ШУЭ13 IP65 (1 шт), ШУЭ14 IP65 (1 шт), ШУЭ15 IP65 (1 шт)</t>
  </si>
  <si>
    <t>ГМЗ. Корпус фильтрации</t>
  </si>
  <si>
    <t>ШУЭ39 IP65 (1 шт)</t>
  </si>
  <si>
    <t>ГМЗ. Площадка выщелачивания</t>
  </si>
  <si>
    <t>ШУЭ16 IP65 (1 шт)</t>
  </si>
  <si>
    <t>ГМЗ. Участок сгущения и декантации</t>
  </si>
  <si>
    <t>Корпус крупного дробления N1. Корпус приводной станции</t>
  </si>
  <si>
    <t>ШУЭ28 IP54 (1 шт)</t>
  </si>
  <si>
    <t>TSL-33</t>
  </si>
  <si>
    <t>⚙ Горно-металл.</t>
  </si>
  <si>
    <t>АО "Ковдорский ГОК"</t>
  </si>
  <si>
    <t>Комплекс по обогащению апатит-штаффелитовых руд; Корпус Дробления 1, 2; Корпус Оттирки</t>
  </si>
  <si>
    <t>2014</t>
  </si>
  <si>
    <t>—</t>
  </si>
  <si>
    <t>HT MODULE A236-16, HT MODULE B212-16, HT MODULE B224-16, HT MODULE B236-16, HT MODULE A224-16</t>
  </si>
  <si>
    <t>Реконструкция дробильной фабрики. Перегрузочный узел 1</t>
  </si>
  <si>
    <t>Транспортно-складской комплекс</t>
  </si>
  <si>
    <t>2022</t>
  </si>
  <si>
    <t>ШУЭ IP65 (5 шт)</t>
  </si>
  <si>
    <t>LTS 3x6, TSL-25F, TSL-33F</t>
  </si>
  <si>
    <t>Дробильно-конвейерный комплекс. Перегрузочный узел №1</t>
  </si>
  <si>
    <t>ШУЭ IP65 (2 шт)</t>
  </si>
  <si>
    <t>TSL-25 (F), TSL-33 (F)</t>
  </si>
  <si>
    <t>Обогатительная фабрика. Корпус обогащения. Компрессорная. Ресиверы</t>
  </si>
  <si>
    <t>Распределяемые расходы. ОФ и ГМЗ. Сети водоснабжения и водоотведения</t>
  </si>
  <si>
    <t>ШУЭ8 IP65 (1 шт)</t>
  </si>
  <si>
    <t>TSS-60, TSL-25 (F)</t>
  </si>
  <si>
    <t>Распределяемые расходы. ОФ и ГМЗ. Тепловые сети и водоснабжение</t>
  </si>
  <si>
    <t>TSS-15, TSS-30, TSS-45, TSS-60, TSL-25 (F), TSL-33 (F)</t>
  </si>
  <si>
    <t>Гидрометаллургический завод. Участки сгущения и приемки кислоты</t>
  </si>
  <si>
    <t>TSL-33 (F), TSL-25 (F)</t>
  </si>
  <si>
    <t>Гидрометаллургический завод. Площадка выщелачивания</t>
  </si>
  <si>
    <t>ООО «Светлое»</t>
  </si>
  <si>
    <t>ГОК "Светлое". Реконструкция штабеля КВ. Технологические трубопроводы</t>
  </si>
  <si>
    <t>ШУЭ IP54 (3 шт)</t>
  </si>
  <si>
    <t>TSL-33(F), TSL-25(F)</t>
  </si>
  <si>
    <t>🌲 ЛесЦБП</t>
  </si>
  <si>
    <t>АО "Группа "Илим"</t>
  </si>
  <si>
    <t>Филиал в г. Братске. Сбор CNCG-газов и регенерация скипидара</t>
  </si>
  <si>
    <t>ШУЭ1 IP54 (1 шт)</t>
  </si>
  <si>
    <t>BSX 5-2-OJ, BSX 8-2-OJ, BSX 10-2-OJ, HTSX 20-2-OJ, TESH 31,5, TESH 50, HTSX 9-2-OJ, HTSX 6-2-OJ</t>
  </si>
  <si>
    <t>ОAO "Группа "Илим"</t>
  </si>
  <si>
    <t>Филиал в г. Братске. Варочный отдел хвойного потока</t>
  </si>
  <si>
    <t>ШУ IP54 (1 шт)</t>
  </si>
  <si>
    <t>HTSX 6-2-OJ</t>
  </si>
  <si>
    <t>АО "Группа "ИЛИМ"</t>
  </si>
  <si>
    <t>Филиал в г. Усть-Илимске. СРК-4. Склад дизельного топлива</t>
  </si>
  <si>
    <t>ШУЭ IP54 (1 шт)</t>
  </si>
  <si>
    <t>BSX 5-2-FOJ, BSX 8-2-FOJ, BSX 10-2-FOJ</t>
  </si>
  <si>
    <t>Филиал в г. Усть-Илимске. Котлы №4, №5. Электрообогрев мазутопроводов</t>
  </si>
  <si>
    <t>HTSX 12-2-OJ</t>
  </si>
  <si>
    <t>Филиал в г. Братске. СРК-1750 ст.11. Техперевооружение</t>
  </si>
  <si>
    <t>2018</t>
  </si>
  <si>
    <t>ШУЭ1 IP65 (1 шт)</t>
  </si>
  <si>
    <t>HPT 10-2-OJ, HPT 15-2-OJ, HPT 20-2-OJ</t>
  </si>
  <si>
    <t>АО "Монди Сыктывкарский ЛПК"</t>
  </si>
  <si>
    <t>Строительство выпарной станции и установки таллового масла</t>
  </si>
  <si>
    <t>ШУЭ IP54 (2 шт)</t>
  </si>
  <si>
    <t>HTSX 6-2, HTSX 9-2, HTSX 12-2, HTSX 20-2, HTSX 15-2</t>
  </si>
  <si>
    <t>HTSX 3-2-OJ, HTSX 6-2-OJ, HTSX 9-2-OJ, HTSX 12-2-OJ, HTSX 15-2-OJ, HTSX 20-2-OJ, TSS-15F, TSS-30F, TSS-45F, TSS-60F, TSL-25F</t>
  </si>
  <si>
    <t>УГБКК, ПКК. Электрообогрев наружной водосточной системы блока №001</t>
  </si>
  <si>
    <t>TSL-33F, TSS-45, TSS-45F</t>
  </si>
  <si>
    <t>Резервуар РВС-259. Цех №3 "Товарно-сырьевой"</t>
  </si>
  <si>
    <t>ШУН-259 IP32 (1 шт)</t>
  </si>
  <si>
    <t>TSS-45F</t>
  </si>
  <si>
    <t>Установка АВТ-5. Инженерные сети и коммуникации</t>
  </si>
  <si>
    <t>ЩЭО1 IP54 (1 шт)</t>
  </si>
  <si>
    <t>HTSX 6-2-OJ, HTSX 12-2-OJ, HTSX 15-2-OJ, HTSX 20-2-OJ, HPT 5-2 OJ</t>
  </si>
  <si>
    <t>Баимский ГОК (Билибино)</t>
  </si>
  <si>
    <t>Переключательный пункт 330 кВ. Наружные сети водопровода и канализации</t>
  </si>
  <si>
    <t>ШОТ IP54 (1 шт)</t>
  </si>
  <si>
    <t>TSL-25F, TSL-33F, TSS-45F</t>
  </si>
  <si>
    <t>ООО «ЛУКОЙЛ-Ухтанефтепереработка»</t>
  </si>
  <si>
    <t>Трубопровод подачи Ярегской нефти</t>
  </si>
  <si>
    <t>TEK 3C70 OJ, HTSX 20-2-OJ</t>
  </si>
  <si>
    <t>Дулисьминское НГКМ</t>
  </si>
  <si>
    <t>Площадки УПОГ и СЦВ-1</t>
  </si>
  <si>
    <t>ЩУЭ1 (1 шт), ЩУЭ2 (1 шт)</t>
  </si>
  <si>
    <t>BSX 8-2-FOJ, BSX 10-2-FOJ, HTSX-15-2-OJ, RSX 15-2-FOJ</t>
  </si>
  <si>
    <t>ООО “ЛУКОЙЛ-Ухтанефтепереработка”</t>
  </si>
  <si>
    <t>Установка АТ-1. Трубопроводы и МЦК</t>
  </si>
  <si>
    <t>8XTV2-CT, 12XTV2-CT, TESH 10, BSX 8-2-FOJ, HTSX-9-2-OJ, HTSX-20-2-OJ</t>
  </si>
  <si>
    <t>НШУ «Яреганефть»</t>
  </si>
  <si>
    <t>Очистные сооружения стоков НШ - 1,2,3. Резервуары РВС 4900</t>
  </si>
  <si>
    <t>ЩЭО1 IP54 (3 шт)</t>
  </si>
  <si>
    <t>BSX 8-2-FOJ, BSX 10-2-FOJ, RSX 15-2-FOJ, FlexiPanel RT-2022</t>
  </si>
  <si>
    <t>ООО «ЛУКОЙЛ-УНП»</t>
  </si>
  <si>
    <t>БПС №2 установки ГДС-850. Трубопроводы и сети МЦК</t>
  </si>
  <si>
    <t>ШУН-202 IP65 (1 шт)</t>
  </si>
  <si>
    <t>HPT 15-2-OJ, HTSX 6-2-OJ, HTSX 9-2-OJ, HTSX 12-2-OJ, HTSX 15-2-OJ</t>
  </si>
  <si>
    <t>АО «Газпромнефть МЗСМ»</t>
  </si>
  <si>
    <t>Резервуарный парк. Восстановление системы электрообогрева</t>
  </si>
  <si>
    <t>FlexiPanel RT-2022</t>
  </si>
  <si>
    <t>ОПО «Площадка по хранению и перевалке нефтепродуктов»</t>
  </si>
  <si>
    <t>Система электрообогрева</t>
  </si>
  <si>
    <t>ШУЭ1 IP31 (1 шт)</t>
  </si>
  <si>
    <t>HTSX-6-2-OJ, HTSX-9-2-OJ</t>
  </si>
  <si>
    <t>ПАО "НИЖНЕКАМСКНЕФТЕХИМ"</t>
  </si>
  <si>
    <t>Установка полистирола (PS Plant)</t>
  </si>
  <si>
    <t>3000-NH-DB-001 IP54 (1 шт)</t>
  </si>
  <si>
    <t>25HXTR2-CT</t>
  </si>
  <si>
    <t>Установки ВТ-2, АВТ-5, АВТ-6. Очистка газов</t>
  </si>
  <si>
    <t>ШЭО IP41 (1 шт)</t>
  </si>
  <si>
    <t>TSU-45F</t>
  </si>
  <si>
    <t>🌾 Пищевая</t>
  </si>
  <si>
    <t>Новороссийский зерновой терминал</t>
  </si>
  <si>
    <t>Терминал по перегрузке зерновых и растительного масла</t>
  </si>
  <si>
    <t>TSL-33 (F)</t>
  </si>
  <si>
    <t>ГМЗ. Площадка приемки кислоты</t>
  </si>
  <si>
    <t>ШУЭ27 IP65 (1 шт)</t>
  </si>
  <si>
    <t>TSL-25 (F)</t>
  </si>
  <si>
    <t>ГМЗ. Корпус пробоотбора</t>
  </si>
  <si>
    <t>ОФ и ГМЗ. Распределяемые расходы</t>
  </si>
  <si>
    <t>ШУЭ1 IP65 (1 шт), ШУЭ2 IP65 (1 шт), ШУЭ3 IP65 (1 шт), ШУЭ4 IP65 (1 шт), ШУЭ5 IP65 (1 шт), ШУЭ6 IP65 (1 шт), ШУЭ7 IP65 (1 шт)</t>
  </si>
  <si>
    <t>ГМЗ. Пусковой комплекс №4</t>
  </si>
  <si>
    <t>Дробильно-конвейерный комплекс. Корпус приводной станции (ЭМ3.04)</t>
  </si>
  <si>
    <t>ШУЭ24 IP54 (1 шт)</t>
  </si>
  <si>
    <t>Дробильно-конвейерный комплекс. Перегрузочный узел N1</t>
  </si>
  <si>
    <t>ШУЭ25 IP54 (1 шт)</t>
  </si>
  <si>
    <t>Дробильно-конвейерный комплекс. КПНС</t>
  </si>
  <si>
    <t>ШУЭ26 IP54 (1 шт)</t>
  </si>
  <si>
    <t>Производственное здание ЗСКЩ №1 (ТХ.2-ЭО.СО)</t>
  </si>
  <si>
    <t>ШУЭ1 IP54 (3 шт)</t>
  </si>
  <si>
    <t>Сургутский ЗСК</t>
  </si>
  <si>
    <t>Установка очистки пропановой фракции</t>
  </si>
  <si>
    <t>TESH 17.8, TESH 200, TESH 31.5, TESH 320, TESH 50</t>
  </si>
  <si>
    <t>ПАО «Северсталь»</t>
  </si>
  <si>
    <t>ПТП. ЛПЦ. Обогрев трубопроводов подачи масла</t>
  </si>
  <si>
    <t>TESH 10, TESH 17.8</t>
  </si>
  <si>
    <t>БПС №2 установки ГДС-850. Трубопровод газа</t>
  </si>
  <si>
    <t>ШУН-21 IP32 (1 шт)</t>
  </si>
  <si>
    <t>ООО «ИстКонТех»
Озерный ГОК Республика Бурятия</t>
  </si>
  <si>
    <t>Обогрев регулирующих резервуаров для воды</t>
  </si>
  <si>
    <t>🏗 Гражд. строит.</t>
  </si>
  <si>
    <t>г. Москва. Ленинградский вокзал</t>
  </si>
  <si>
    <t>ШУ IP43(2 шт)</t>
  </si>
  <si>
    <t>Extherm SNOW/2p, Extherm GP-2CR</t>
  </si>
  <si>
    <t>ШУЭ-з11059-1 (1 шт), 
ШУЭ-з11059-2 (1 шт), 
ШУЭ-з11059-3 (1 шт)</t>
  </si>
  <si>
    <t>ШУН-2 IP32 (1 шт), 
ШУН-3 IP66 (1 шт)</t>
  </si>
  <si>
    <t>ЩЭО IP54 (1 шт), 
ЩПО IP31 (1 шт)</t>
  </si>
  <si>
    <t>ЩУЭ1 IP54 (1 шт), 
ЩУЭ2 IP54 (1 шт), 
ЩПО1 IP31 (1 шт), 
ЩПО2 IP31 (1 шт)</t>
  </si>
  <si>
    <t>ШУОС-1 IP44 (1 шт), 
ШУОС-2 IP44 (1 шт)</t>
  </si>
  <si>
    <t>ШУЭ33 IP65 (1 шт), 
ШУЭ37 IP65 (1 шт)</t>
  </si>
  <si>
    <t>ШУГК-МП4 IP55 (1 шт), 
ШУГК-МП5 IP55 (1 шт)</t>
  </si>
  <si>
    <t>ШУН1 (1 шт),
ШУН2 (1 шт)</t>
  </si>
  <si>
    <t>ШУЭ21 IP65 (1 шт), 
ШУЭ22 IP65 (1 шт)</t>
  </si>
  <si>
    <t>ШУН-1 IP54 (1 шт), 
ШУН-2 IP54 (1 шт)</t>
  </si>
  <si>
    <t>ШУН-2 (1 шт), 
ШУН1-3 (ШФЛУ) (4 шт), ШУН-11 (1 шт)</t>
  </si>
  <si>
    <t>ШУЭ1 IP55 (1 шт), ШУЭ2.1 IP55 (1 шт), 
ШУЭ2.2 IP55 (1 шт), ШУЭ3 IP55 (1 шт), ШУЭ4 IP55 (1 шт), ШУЭ6 IP55 (1 шт), ШУЭ7 IP55 (1 шт)</t>
  </si>
  <si>
    <t>Ленинградский вокзал. Ремонт современной части здания пассажирского вокзала  "Москва"</t>
  </si>
  <si>
    <t>65 ПРОЕКТОВ ОТ РАСЧЁТА ДО ПНР · ВЫПОЛНЕНО ОДНИМ ИНЖЕНЕРОМ</t>
  </si>
  <si>
    <t>ПОЛНЫЙ ЦИКЛ ПРОЕКТИРОВАНИЯ — ЛИЧНО</t>
  </si>
  <si>
    <t>✓ Подбор греющего кабеля, нагревательных модулей и панелей</t>
  </si>
  <si>
    <t>✓ Рабочая документация (стадии П, РП, Р, РД)</t>
  </si>
  <si>
    <t>✓ ТЗ для проектных институтов и генподрядчиков</t>
  </si>
  <si>
    <t>✓ Сопровождение экспертизы и работа с замечаниями</t>
  </si>
  <si>
    <t>✓ Авторский надзор и поддержка монтажа</t>
  </si>
  <si>
    <t>✓ Пусконаладочные работы (консультации, корректировки)</t>
  </si>
  <si>
    <t>✓ Взрывоопасные зоны (Ex/ATEX), Ростехнадзор</t>
  </si>
  <si>
    <t>✓ Двуязычная документация (русский / английский)</t>
  </si>
  <si>
    <t>✓ Тепловые и электрические расчёты   (бункеры, трубопроводы, резервуары, кровля, полы, оборудование)</t>
  </si>
  <si>
    <t>✓ Проектирование силовой части и шкафов управления  (однолинейные схемы, спецификации, подбор автоматики)</t>
  </si>
  <si>
    <t>ИТОГО  ·  65 ОБЪЕКТОВ
 Все 65 проектов выполнены Трофимовым Е. С. лично, без привлечения субподрядчиков. 
Формат — ИП / ГПХ. Полный цикл: расчёты → РД → шкафы управления → экспертиза → авторский надзор → ПНР</t>
  </si>
  <si>
    <t>Все проекты выполнены лично автором. Полный цикл: расчёты → РД → шкафы управления → экспертиза → авторский надзор.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</si>
</sst>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0"/>
      <color rgb="FF00A8CC"/>
      <name val="Calibri"/>
      <charset val="1"/>
    </font>
    <font>
      <b/>
      <sz val="9"/>
      <color rgb="FFFFFFFF"/>
      <name val="Calibri"/>
      <charset val="1"/>
    </font>
    <font>
      <b/>
      <sz val="9"/>
      <color rgb="FF00A8CC"/>
      <name val="Calibri"/>
      <charset val="1"/>
    </font>
    <font>
      <b/>
      <sz val="8"/>
      <color rgb="FF5BB8D4"/>
      <name val="Calibri"/>
      <charset val="1"/>
    </font>
    <font>
      <b/>
      <sz val="9"/>
      <color rgb="FF1A1A2E"/>
      <name val="Calibri"/>
      <charset val="1"/>
    </font>
    <font>
      <sz val="9"/>
      <color rgb="FF1A1A2E"/>
      <name val="Calibri"/>
      <charset val="1"/>
    </font>
    <font>
      <sz val="9"/>
      <color rgb="FFAAAAAA"/>
      <name val="Calibri"/>
      <charset val="1"/>
    </font>
    <font>
      <b/>
      <sz val="8"/>
      <color rgb="FFD4A854"/>
      <name val="Calibri"/>
      <charset val="1"/>
    </font>
    <font>
      <b/>
      <sz val="8"/>
      <color rgb="FF52C99B"/>
      <name val="Calibri"/>
      <charset val="1"/>
    </font>
    <font>
      <b/>
      <sz val="8"/>
      <color rgb="FFE8A84A"/>
      <name val="Calibri"/>
      <charset val="1"/>
    </font>
    <font>
      <b/>
      <sz val="8"/>
      <color rgb="FFD47A8A"/>
      <name val="Calibri"/>
      <charset val="1"/>
    </font>
    <font>
      <b/>
      <sz val="8"/>
      <color rgb="FF7A9ACC"/>
      <name val="Calibri"/>
      <charset val="1"/>
    </font>
    <font>
      <b/>
      <sz val="11"/>
      <color rgb="FF00A8CC"/>
      <name val="Calibri"/>
      <charset val="1"/>
    </font>
    <font>
      <b/>
      <sz val="10"/>
      <color rgb="FFF0A500"/>
      <name val="Calibri"/>
      <charset val="1"/>
    </font>
    <font>
      <sz val="9"/>
      <color rgb="FF1A1A2E"/>
      <name val="Calibri"/>
      <family val="2"/>
      <charset val="204"/>
    </font>
    <font>
      <b/>
      <sz val="11"/>
      <color rgb="FF00A8CC"/>
      <name val="Calibri"/>
      <family val="2"/>
      <charset val="204"/>
    </font>
    <font>
      <i/>
      <sz val="10"/>
      <color rgb="FF00A8CC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1B2E45"/>
        <bgColor rgb="FF1A2A4A"/>
      </patternFill>
    </fill>
    <fill>
      <patternFill patternType="solid">
        <fgColor rgb="FF1A3A5C"/>
        <bgColor rgb="FF1E3A5C"/>
      </patternFill>
    </fill>
    <fill>
      <patternFill patternType="solid">
        <fgColor rgb="FFFFFFFF"/>
        <bgColor rgb="FFF0F7FA"/>
      </patternFill>
    </fill>
    <fill>
      <patternFill patternType="solid">
        <fgColor rgb="FFF0F7FA"/>
        <bgColor rgb="FFFFFFFF"/>
      </patternFill>
    </fill>
    <fill>
      <patternFill patternType="solid">
        <fgColor rgb="FF3A2A10"/>
        <bgColor rgb="FF4A3A1A"/>
      </patternFill>
    </fill>
    <fill>
      <patternFill patternType="solid">
        <fgColor rgb="FF1A4A3A"/>
        <bgColor rgb="FF1A3A5C"/>
      </patternFill>
    </fill>
    <fill>
      <patternFill patternType="solid">
        <fgColor rgb="FF4A3A1A"/>
        <bgColor rgb="FF3A2A10"/>
      </patternFill>
    </fill>
    <fill>
      <patternFill patternType="solid">
        <fgColor rgb="FF4A1A2A"/>
        <bgColor rgb="FF3A2A10"/>
      </patternFill>
    </fill>
    <fill>
      <patternFill patternType="solid">
        <fgColor rgb="FF1A2A4A"/>
        <bgColor rgb="FF1B2E45"/>
      </patternFill>
    </fill>
  </fills>
  <borders count="11">
    <border>
      <left/>
      <right/>
      <top/>
      <bottom/>
      <diagonal/>
    </border>
    <border>
      <left style="thin">
        <color rgb="FF1E3A5C"/>
      </left>
      <right style="thin">
        <color rgb="FF1E3A5C"/>
      </right>
      <top/>
      <bottom/>
      <diagonal/>
    </border>
    <border>
      <left/>
      <right style="thin">
        <color rgb="FF00A8CC"/>
      </right>
      <top/>
      <bottom/>
      <diagonal/>
    </border>
    <border>
      <left/>
      <right style="thin">
        <color rgb="FF5BB8D4"/>
      </right>
      <top/>
      <bottom/>
      <diagonal/>
    </border>
    <border>
      <left style="thin">
        <color rgb="FFC8D8E4"/>
      </left>
      <right style="thin">
        <color rgb="FFC8D8E4"/>
      </right>
      <top style="thin">
        <color rgb="FFC8D8E4"/>
      </top>
      <bottom style="thin">
        <color rgb="FFC8D8E4"/>
      </bottom>
      <diagonal/>
    </border>
    <border>
      <left/>
      <right style="thin">
        <color rgb="FFD4A854"/>
      </right>
      <top/>
      <bottom/>
      <diagonal/>
    </border>
    <border>
      <left/>
      <right style="thin">
        <color rgb="FF52C99B"/>
      </right>
      <top/>
      <bottom/>
      <diagonal/>
    </border>
    <border>
      <left/>
      <right style="thin">
        <color rgb="FFE8A84A"/>
      </right>
      <top/>
      <bottom/>
      <diagonal/>
    </border>
    <border>
      <left/>
      <right style="thin">
        <color rgb="FFD47A8A"/>
      </right>
      <top/>
      <bottom/>
      <diagonal/>
    </border>
    <border>
      <left/>
      <right style="thin">
        <color rgb="FF7A9ACC"/>
      </right>
      <top/>
      <bottom/>
      <diagonal/>
    </border>
    <border>
      <left/>
      <right/>
      <top style="medium">
        <color rgb="FF00A8C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0" fillId="7" borderId="5" xfId="0" applyFill="1" applyBorder="1"/>
    <xf numFmtId="0" fontId="9" fillId="7" borderId="4" xfId="0" applyFont="1" applyFill="1" applyBorder="1" applyAlignment="1">
      <alignment horizontal="center" vertical="center" wrapText="1"/>
    </xf>
    <xf numFmtId="0" fontId="0" fillId="8" borderId="6" xfId="0" applyFill="1" applyBorder="1"/>
    <xf numFmtId="0" fontId="10" fillId="8" borderId="4" xfId="0" applyFont="1" applyFill="1" applyBorder="1" applyAlignment="1">
      <alignment horizontal="center" vertical="center" wrapText="1"/>
    </xf>
    <xf numFmtId="0" fontId="0" fillId="9" borderId="7" xfId="0" applyFill="1" applyBorder="1"/>
    <xf numFmtId="0" fontId="11" fillId="9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0" fillId="10" borderId="8" xfId="0" applyFill="1" applyBorder="1"/>
    <xf numFmtId="0" fontId="12" fillId="10" borderId="4" xfId="0" applyFont="1" applyFill="1" applyBorder="1" applyAlignment="1">
      <alignment horizontal="center" vertical="center" wrapText="1"/>
    </xf>
    <xf numFmtId="0" fontId="0" fillId="11" borderId="9" xfId="0" applyFill="1" applyBorder="1"/>
    <xf numFmtId="0" fontId="13" fillId="11" borderId="4" xfId="0" applyFont="1" applyFill="1" applyBorder="1" applyAlignment="1">
      <alignment horizontal="center" vertical="center" wrapText="1"/>
    </xf>
    <xf numFmtId="1" fontId="0" fillId="2" borderId="0" xfId="0" applyNumberFormat="1" applyFill="1"/>
    <xf numFmtId="1" fontId="7" fillId="5" borderId="4" xfId="0" applyNumberFormat="1" applyFont="1" applyFill="1" applyBorder="1" applyAlignment="1">
      <alignment horizontal="center" vertical="center" wrapText="1"/>
    </xf>
    <xf numFmtId="1" fontId="8" fillId="5" borderId="4" xfId="0" applyNumberFormat="1" applyFont="1" applyFill="1" applyBorder="1" applyAlignment="1">
      <alignment horizontal="center" vertical="center" wrapText="1"/>
    </xf>
    <xf numFmtId="1" fontId="7" fillId="6" borderId="4" xfId="0" applyNumberFormat="1" applyFont="1" applyFill="1" applyBorder="1" applyAlignment="1">
      <alignment horizontal="center" vertical="center" wrapText="1"/>
    </xf>
    <xf numFmtId="1" fontId="8" fillId="6" borderId="4" xfId="0" applyNumberFormat="1" applyFont="1" applyFill="1" applyBorder="1" applyAlignment="1">
      <alignment horizontal="center" vertical="center" wrapText="1"/>
    </xf>
    <xf numFmtId="1" fontId="15" fillId="2" borderId="10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6" fillId="5" borderId="4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4A3A"/>
      <rgbColor rgb="FF1A1A2E"/>
      <rgbColor rgb="FF808000"/>
      <rgbColor rgb="FF800080"/>
      <rgbColor rgb="FF008080"/>
      <rgbColor rgb="FFD4A854"/>
      <rgbColor rgb="FF808080"/>
      <rgbColor rgb="FF7A9ACC"/>
      <rgbColor rgb="FF993366"/>
      <rgbColor rgb="FFF0F7FA"/>
      <rgbColor rgb="FFCCFFFF"/>
      <rgbColor rgb="FF4A1A2A"/>
      <rgbColor rgb="FFD47A8A"/>
      <rgbColor rgb="FF0066CC"/>
      <rgbColor rgb="FFC8D8E4"/>
      <rgbColor rgb="FF1A2A4A"/>
      <rgbColor rgb="FFFF00FF"/>
      <rgbColor rgb="FFFFFF00"/>
      <rgbColor rgb="FF00FFFF"/>
      <rgbColor rgb="FF800080"/>
      <rgbColor rgb="FF800000"/>
      <rgbColor rgb="FF008080"/>
      <rgbColor rgb="FF0000FF"/>
      <rgbColor rgb="FF00A8CC"/>
      <rgbColor rgb="FFCCFFFF"/>
      <rgbColor rgb="FFCCFFCC"/>
      <rgbColor rgb="FFFFFF99"/>
      <rgbColor rgb="FF5BB8D4"/>
      <rgbColor rgb="FFFF99CC"/>
      <rgbColor rgb="FFB07FCC"/>
      <rgbColor rgb="FFFFCC99"/>
      <rgbColor rgb="FF3366FF"/>
      <rgbColor rgb="FF52C99B"/>
      <rgbColor rgb="FF99CC00"/>
      <rgbColor rgb="FFE8A84A"/>
      <rgbColor rgb="FFF0A500"/>
      <rgbColor rgb="FFCC8844"/>
      <rgbColor rgb="FF666699"/>
      <rgbColor rgb="FFAAAAAA"/>
      <rgbColor rgb="FF1A3A5C"/>
      <rgbColor rgb="FF339966"/>
      <rgbColor rgb="FF0D1B2A"/>
      <rgbColor rgb="FF3A2A10"/>
      <rgbColor rgb="FF4A3A1A"/>
      <rgbColor rgb="FF993366"/>
      <rgbColor rgb="FF1E3A5C"/>
      <rgbColor rgb="FF1B2E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A8CC"/>
  </sheetPr>
  <dimension ref="A1:N72"/>
  <sheetViews>
    <sheetView showGridLines="0" tabSelected="1" zoomScaleNormal="100" workbookViewId="0">
      <pane ySplit="6" topLeftCell="A7" activePane="bottomLeft" state="frozen"/>
      <selection pane="bottomLeft" activeCell="E68" sqref="E68"/>
    </sheetView>
  </sheetViews>
  <sheetFormatPr defaultColWidth="8.6640625" defaultRowHeight="14.4" x14ac:dyDescent="0.3"/>
  <cols>
    <col min="1" max="1" width="4" customWidth="1"/>
    <col min="2" max="2" width="3" customWidth="1"/>
    <col min="3" max="3" width="22" customWidth="1"/>
    <col min="4" max="4" width="35.21875" customWidth="1"/>
    <col min="5" max="5" width="44" customWidth="1"/>
    <col min="6" max="6" width="7" customWidth="1"/>
    <col min="7" max="7" width="28.77734375" style="32" customWidth="1"/>
    <col min="8" max="8" width="28" customWidth="1"/>
    <col min="9" max="9" width="13" style="28" customWidth="1"/>
    <col min="10" max="10" width="11" style="28" customWidth="1"/>
    <col min="11" max="11" width="13" style="28" customWidth="1"/>
    <col min="12" max="12" width="15" style="28" customWidth="1"/>
    <col min="13" max="13" width="11" style="28" customWidth="1"/>
    <col min="14" max="14" width="15" style="28" customWidth="1"/>
  </cols>
  <sheetData>
    <row r="1" spans="1:14" ht="12" customHeight="1" x14ac:dyDescent="0.3">
      <c r="A1" s="1"/>
      <c r="B1" s="1"/>
      <c r="C1" s="1"/>
      <c r="D1" s="1"/>
      <c r="E1" s="1"/>
      <c r="F1" s="1"/>
      <c r="G1" s="31"/>
      <c r="H1" s="1"/>
      <c r="I1" s="22"/>
      <c r="J1" s="22"/>
      <c r="K1" s="22"/>
      <c r="L1" s="22"/>
      <c r="M1" s="22"/>
      <c r="N1" s="22"/>
    </row>
    <row r="2" spans="1:14" ht="49.5" customHeight="1" x14ac:dyDescent="0.3">
      <c r="A2" s="33" t="s">
        <v>232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3.5" customHeight="1" x14ac:dyDescent="0.3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13.5" customHeight="1" x14ac:dyDescent="0.3">
      <c r="A4" s="34" t="s">
        <v>245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37.5" customHeight="1" x14ac:dyDescent="0.3">
      <c r="A5" s="36" t="s">
        <v>1</v>
      </c>
      <c r="B5" s="36"/>
      <c r="C5" s="36" t="s">
        <v>2</v>
      </c>
      <c r="D5" s="36" t="s">
        <v>3</v>
      </c>
      <c r="E5" s="36" t="s">
        <v>4</v>
      </c>
      <c r="F5" s="36" t="s">
        <v>5</v>
      </c>
      <c r="G5" s="36" t="s">
        <v>6</v>
      </c>
      <c r="H5" s="36" t="s">
        <v>7</v>
      </c>
      <c r="I5" s="37" t="s">
        <v>8</v>
      </c>
      <c r="J5" s="37" t="s">
        <v>9</v>
      </c>
      <c r="K5" s="37" t="s">
        <v>10</v>
      </c>
      <c r="L5" s="37" t="s">
        <v>11</v>
      </c>
      <c r="M5" s="37" t="s">
        <v>12</v>
      </c>
      <c r="N5" s="37" t="s">
        <v>13</v>
      </c>
    </row>
    <row r="6" spans="1:14" ht="37.5" customHeight="1" x14ac:dyDescent="0.3">
      <c r="A6" s="36"/>
      <c r="B6" s="36"/>
      <c r="C6" s="36"/>
      <c r="D6" s="36"/>
      <c r="E6" s="36"/>
      <c r="F6" s="36"/>
      <c r="G6" s="36"/>
      <c r="H6" s="36"/>
      <c r="I6" s="37"/>
      <c r="J6" s="37"/>
      <c r="K6" s="37"/>
      <c r="L6" s="37"/>
      <c r="M6" s="37"/>
      <c r="N6" s="37"/>
    </row>
    <row r="7" spans="1:14" ht="33.75" customHeight="1" x14ac:dyDescent="0.3">
      <c r="A7" s="2">
        <v>1</v>
      </c>
      <c r="B7" s="3"/>
      <c r="C7" s="4" t="s">
        <v>14</v>
      </c>
      <c r="D7" s="5" t="s">
        <v>15</v>
      </c>
      <c r="E7" s="5" t="s">
        <v>16</v>
      </c>
      <c r="F7" s="6" t="s">
        <v>17</v>
      </c>
      <c r="G7" s="6" t="s">
        <v>18</v>
      </c>
      <c r="H7" s="6" t="s">
        <v>19</v>
      </c>
      <c r="I7" s="23">
        <v>956</v>
      </c>
      <c r="J7" s="24"/>
      <c r="K7" s="23">
        <v>169</v>
      </c>
      <c r="L7" s="24"/>
      <c r="M7" s="23">
        <v>22</v>
      </c>
      <c r="N7" s="23">
        <v>153</v>
      </c>
    </row>
    <row r="8" spans="1:14" ht="33.75" customHeight="1" x14ac:dyDescent="0.3">
      <c r="A8" s="7">
        <v>2</v>
      </c>
      <c r="B8" s="3"/>
      <c r="C8" s="4" t="s">
        <v>14</v>
      </c>
      <c r="D8" s="8" t="s">
        <v>15</v>
      </c>
      <c r="E8" s="8" t="s">
        <v>20</v>
      </c>
      <c r="F8" s="9" t="s">
        <v>17</v>
      </c>
      <c r="G8" s="9" t="s">
        <v>18</v>
      </c>
      <c r="H8" s="9" t="s">
        <v>21</v>
      </c>
      <c r="I8" s="25">
        <v>1696</v>
      </c>
      <c r="J8" s="26"/>
      <c r="K8" s="25">
        <v>334</v>
      </c>
      <c r="L8" s="25">
        <v>10</v>
      </c>
      <c r="M8" s="25">
        <v>25</v>
      </c>
      <c r="N8" s="25">
        <v>334</v>
      </c>
    </row>
    <row r="9" spans="1:14" ht="33.75" customHeight="1" x14ac:dyDescent="0.3">
      <c r="A9" s="2">
        <v>3</v>
      </c>
      <c r="B9" s="10"/>
      <c r="C9" s="11" t="s">
        <v>22</v>
      </c>
      <c r="D9" s="5" t="s">
        <v>23</v>
      </c>
      <c r="E9" s="5" t="s">
        <v>24</v>
      </c>
      <c r="F9" s="6" t="s">
        <v>25</v>
      </c>
      <c r="G9" s="29" t="s">
        <v>219</v>
      </c>
      <c r="H9" s="6" t="s">
        <v>26</v>
      </c>
      <c r="I9" s="23">
        <v>4428</v>
      </c>
      <c r="J9" s="24"/>
      <c r="K9" s="23">
        <v>441</v>
      </c>
      <c r="L9" s="23">
        <v>908</v>
      </c>
      <c r="M9" s="23">
        <v>26</v>
      </c>
      <c r="N9" s="23">
        <v>342</v>
      </c>
    </row>
    <row r="10" spans="1:14" ht="33.75" customHeight="1" x14ac:dyDescent="0.3">
      <c r="A10" s="7">
        <v>4</v>
      </c>
      <c r="B10" s="3"/>
      <c r="C10" s="4" t="s">
        <v>14</v>
      </c>
      <c r="D10" s="8" t="s">
        <v>27</v>
      </c>
      <c r="E10" s="8" t="s">
        <v>28</v>
      </c>
      <c r="F10" s="9" t="s">
        <v>29</v>
      </c>
      <c r="G10" s="9" t="s">
        <v>30</v>
      </c>
      <c r="H10" s="9" t="s">
        <v>31</v>
      </c>
      <c r="I10" s="25">
        <v>4791</v>
      </c>
      <c r="J10" s="26"/>
      <c r="K10" s="25">
        <v>710</v>
      </c>
      <c r="L10" s="25">
        <v>600</v>
      </c>
      <c r="M10" s="25">
        <v>94</v>
      </c>
      <c r="N10" s="26"/>
    </row>
    <row r="11" spans="1:14" ht="33.75" customHeight="1" x14ac:dyDescent="0.3">
      <c r="A11" s="2">
        <v>5</v>
      </c>
      <c r="B11" s="3"/>
      <c r="C11" s="4" t="s">
        <v>14</v>
      </c>
      <c r="D11" s="5" t="s">
        <v>27</v>
      </c>
      <c r="E11" s="5" t="s">
        <v>32</v>
      </c>
      <c r="F11" s="6" t="s">
        <v>25</v>
      </c>
      <c r="G11" s="29" t="s">
        <v>220</v>
      </c>
      <c r="H11" s="6" t="s">
        <v>33</v>
      </c>
      <c r="I11" s="23">
        <v>3111</v>
      </c>
      <c r="J11" s="24"/>
      <c r="K11" s="24"/>
      <c r="L11" s="24"/>
      <c r="M11" s="23">
        <v>48</v>
      </c>
      <c r="N11" s="24"/>
    </row>
    <row r="12" spans="1:14" ht="48.6" customHeight="1" x14ac:dyDescent="0.3">
      <c r="A12" s="7">
        <v>6</v>
      </c>
      <c r="B12" s="10"/>
      <c r="C12" s="11" t="s">
        <v>22</v>
      </c>
      <c r="D12" s="8" t="s">
        <v>34</v>
      </c>
      <c r="E12" s="8" t="s">
        <v>35</v>
      </c>
      <c r="F12" s="9" t="s">
        <v>36</v>
      </c>
      <c r="G12" s="30" t="s">
        <v>37</v>
      </c>
      <c r="H12" s="9" t="s">
        <v>38</v>
      </c>
      <c r="I12" s="26"/>
      <c r="J12" s="25">
        <v>148</v>
      </c>
      <c r="K12" s="25">
        <v>1315</v>
      </c>
      <c r="L12" s="25">
        <v>1809</v>
      </c>
      <c r="M12" s="25">
        <v>97</v>
      </c>
      <c r="N12" s="25">
        <v>90</v>
      </c>
    </row>
    <row r="13" spans="1:14" ht="33.75" customHeight="1" x14ac:dyDescent="0.3">
      <c r="A13" s="2">
        <v>7</v>
      </c>
      <c r="B13" s="3"/>
      <c r="C13" s="4" t="s">
        <v>14</v>
      </c>
      <c r="D13" s="5" t="s">
        <v>39</v>
      </c>
      <c r="E13" s="5" t="s">
        <v>40</v>
      </c>
      <c r="F13" s="6" t="s">
        <v>41</v>
      </c>
      <c r="G13" s="6" t="s">
        <v>42</v>
      </c>
      <c r="H13" s="6" t="s">
        <v>43</v>
      </c>
      <c r="I13" s="23">
        <v>15165</v>
      </c>
      <c r="J13" s="24"/>
      <c r="K13" s="23">
        <v>10055</v>
      </c>
      <c r="L13" s="23">
        <v>1760</v>
      </c>
      <c r="M13" s="23">
        <v>128</v>
      </c>
      <c r="N13" s="23">
        <v>1324</v>
      </c>
    </row>
    <row r="14" spans="1:14" ht="33.75" customHeight="1" x14ac:dyDescent="0.3">
      <c r="A14" s="7">
        <v>8</v>
      </c>
      <c r="B14" s="3"/>
      <c r="C14" s="4" t="s">
        <v>14</v>
      </c>
      <c r="D14" s="8" t="s">
        <v>44</v>
      </c>
      <c r="E14" s="8" t="s">
        <v>45</v>
      </c>
      <c r="F14" s="9" t="s">
        <v>46</v>
      </c>
      <c r="G14" s="30" t="s">
        <v>221</v>
      </c>
      <c r="H14" s="9" t="s">
        <v>47</v>
      </c>
      <c r="I14" s="25">
        <v>4605</v>
      </c>
      <c r="J14" s="26"/>
      <c r="K14" s="25">
        <v>4685</v>
      </c>
      <c r="L14" s="25">
        <v>1220</v>
      </c>
      <c r="M14" s="25">
        <v>65</v>
      </c>
      <c r="N14" s="25">
        <v>180</v>
      </c>
    </row>
    <row r="15" spans="1:14" ht="33.75" customHeight="1" x14ac:dyDescent="0.3">
      <c r="A15" s="2">
        <v>9</v>
      </c>
      <c r="B15" s="12"/>
      <c r="C15" s="13" t="s">
        <v>48</v>
      </c>
      <c r="D15" s="5" t="s">
        <v>49</v>
      </c>
      <c r="E15" s="5" t="s">
        <v>50</v>
      </c>
      <c r="F15" s="6" t="s">
        <v>51</v>
      </c>
      <c r="G15" s="6" t="s">
        <v>52</v>
      </c>
      <c r="H15" s="6" t="s">
        <v>53</v>
      </c>
      <c r="I15" s="23">
        <v>5903</v>
      </c>
      <c r="J15" s="24"/>
      <c r="K15" s="23">
        <v>8595</v>
      </c>
      <c r="L15" s="23">
        <v>4330</v>
      </c>
      <c r="M15" s="23">
        <v>121</v>
      </c>
      <c r="N15" s="23">
        <v>950</v>
      </c>
    </row>
    <row r="16" spans="1:14" ht="33.75" customHeight="1" x14ac:dyDescent="0.3">
      <c r="A16" s="7">
        <v>10</v>
      </c>
      <c r="B16" s="14"/>
      <c r="C16" s="15" t="s">
        <v>54</v>
      </c>
      <c r="D16" s="8" t="s">
        <v>55</v>
      </c>
      <c r="E16" s="8" t="s">
        <v>56</v>
      </c>
      <c r="F16" s="9" t="s">
        <v>51</v>
      </c>
      <c r="G16" s="30" t="s">
        <v>222</v>
      </c>
      <c r="H16" s="9" t="s">
        <v>57</v>
      </c>
      <c r="I16" s="26"/>
      <c r="J16" s="25">
        <v>1086</v>
      </c>
      <c r="K16" s="26"/>
      <c r="L16" s="26"/>
      <c r="M16" s="25">
        <v>681</v>
      </c>
      <c r="N16" s="26"/>
    </row>
    <row r="17" spans="1:14" ht="33.75" customHeight="1" x14ac:dyDescent="0.3">
      <c r="A17" s="2">
        <v>11</v>
      </c>
      <c r="B17" s="12"/>
      <c r="C17" s="13" t="s">
        <v>48</v>
      </c>
      <c r="D17" s="5" t="s">
        <v>58</v>
      </c>
      <c r="E17" s="5" t="s">
        <v>59</v>
      </c>
      <c r="F17" s="6" t="s">
        <v>46</v>
      </c>
      <c r="G17" s="29" t="s">
        <v>223</v>
      </c>
      <c r="H17" s="6" t="s">
        <v>60</v>
      </c>
      <c r="I17" s="23">
        <v>5836</v>
      </c>
      <c r="J17" s="24"/>
      <c r="K17" s="23">
        <v>1140</v>
      </c>
      <c r="L17" s="23">
        <v>264</v>
      </c>
      <c r="M17" s="23">
        <v>45</v>
      </c>
      <c r="N17" s="23">
        <v>16</v>
      </c>
    </row>
    <row r="18" spans="1:14" ht="51.6" customHeight="1" x14ac:dyDescent="0.3">
      <c r="A18" s="7">
        <v>12</v>
      </c>
      <c r="B18" s="12"/>
      <c r="C18" s="13" t="s">
        <v>48</v>
      </c>
      <c r="D18" s="8" t="s">
        <v>61</v>
      </c>
      <c r="E18" s="8" t="s">
        <v>62</v>
      </c>
      <c r="F18" s="9" t="s">
        <v>25</v>
      </c>
      <c r="G18" s="30" t="s">
        <v>230</v>
      </c>
      <c r="H18" s="9" t="s">
        <v>63</v>
      </c>
      <c r="I18" s="25">
        <v>15340</v>
      </c>
      <c r="J18" s="26"/>
      <c r="K18" s="25">
        <v>5570</v>
      </c>
      <c r="L18" s="25">
        <v>3365</v>
      </c>
      <c r="M18" s="25">
        <v>108</v>
      </c>
      <c r="N18" s="25">
        <v>100</v>
      </c>
    </row>
    <row r="19" spans="1:14" ht="33.75" customHeight="1" x14ac:dyDescent="0.3">
      <c r="A19" s="2">
        <v>13</v>
      </c>
      <c r="B19" s="12"/>
      <c r="C19" s="13" t="s">
        <v>48</v>
      </c>
      <c r="D19" s="5" t="s">
        <v>64</v>
      </c>
      <c r="E19" s="5" t="s">
        <v>65</v>
      </c>
      <c r="F19" s="6" t="s">
        <v>25</v>
      </c>
      <c r="G19" s="6" t="s">
        <v>66</v>
      </c>
      <c r="H19" s="6" t="s">
        <v>67</v>
      </c>
      <c r="I19" s="23">
        <v>9900</v>
      </c>
      <c r="J19" s="24"/>
      <c r="K19" s="24"/>
      <c r="L19" s="24"/>
      <c r="M19" s="23">
        <v>204</v>
      </c>
      <c r="N19" s="24"/>
    </row>
    <row r="20" spans="1:14" ht="33.75" customHeight="1" x14ac:dyDescent="0.3">
      <c r="A20" s="7">
        <v>14</v>
      </c>
      <c r="B20" s="10"/>
      <c r="C20" s="11" t="s">
        <v>22</v>
      </c>
      <c r="D20" s="8" t="s">
        <v>68</v>
      </c>
      <c r="E20" s="8" t="s">
        <v>69</v>
      </c>
      <c r="F20" s="9" t="s">
        <v>25</v>
      </c>
      <c r="G20" s="9" t="s">
        <v>70</v>
      </c>
      <c r="H20" s="9" t="s">
        <v>71</v>
      </c>
      <c r="I20" s="26"/>
      <c r="J20" s="25">
        <v>84</v>
      </c>
      <c r="K20" s="25">
        <v>300</v>
      </c>
      <c r="L20" s="25">
        <v>270</v>
      </c>
      <c r="M20" s="25">
        <v>23</v>
      </c>
      <c r="N20" s="26"/>
    </row>
    <row r="21" spans="1:14" ht="33.75" customHeight="1" x14ac:dyDescent="0.3">
      <c r="A21" s="2">
        <v>15</v>
      </c>
      <c r="B21" s="10"/>
      <c r="C21" s="11" t="s">
        <v>22</v>
      </c>
      <c r="D21" s="5" t="s">
        <v>72</v>
      </c>
      <c r="E21" s="5" t="s">
        <v>73</v>
      </c>
      <c r="F21" s="6" t="s">
        <v>25</v>
      </c>
      <c r="G21" s="6" t="s">
        <v>74</v>
      </c>
      <c r="H21" s="6" t="s">
        <v>75</v>
      </c>
      <c r="I21" s="24"/>
      <c r="J21" s="23">
        <v>43</v>
      </c>
      <c r="K21" s="23">
        <v>240</v>
      </c>
      <c r="L21" s="23">
        <v>100</v>
      </c>
      <c r="M21" s="23">
        <v>10</v>
      </c>
      <c r="N21" s="23">
        <v>3</v>
      </c>
    </row>
    <row r="22" spans="1:14" ht="33.75" customHeight="1" x14ac:dyDescent="0.3">
      <c r="A22" s="7">
        <v>16</v>
      </c>
      <c r="B22" s="10"/>
      <c r="C22" s="11" t="s">
        <v>22</v>
      </c>
      <c r="D22" s="8" t="s">
        <v>76</v>
      </c>
      <c r="E22" s="8" t="s">
        <v>77</v>
      </c>
      <c r="F22" s="9" t="s">
        <v>78</v>
      </c>
      <c r="G22" s="9" t="s">
        <v>79</v>
      </c>
      <c r="H22" s="9" t="s">
        <v>80</v>
      </c>
      <c r="I22" s="25">
        <v>1372</v>
      </c>
      <c r="J22" s="26"/>
      <c r="K22" s="25">
        <v>93</v>
      </c>
      <c r="L22" s="25">
        <v>2747</v>
      </c>
      <c r="M22" s="25">
        <v>102</v>
      </c>
      <c r="N22" s="26"/>
    </row>
    <row r="23" spans="1:14" ht="33.75" customHeight="1" x14ac:dyDescent="0.3">
      <c r="A23" s="2">
        <v>17</v>
      </c>
      <c r="B23" s="10"/>
      <c r="C23" s="11" t="s">
        <v>22</v>
      </c>
      <c r="D23" s="5" t="s">
        <v>76</v>
      </c>
      <c r="E23" s="5" t="s">
        <v>81</v>
      </c>
      <c r="F23" s="6" t="s">
        <v>29</v>
      </c>
      <c r="G23" s="6" t="s">
        <v>82</v>
      </c>
      <c r="H23" s="6" t="s">
        <v>80</v>
      </c>
      <c r="I23" s="23">
        <v>4325</v>
      </c>
      <c r="J23" s="24"/>
      <c r="K23" s="23">
        <v>5580</v>
      </c>
      <c r="L23" s="23">
        <v>1900</v>
      </c>
      <c r="M23" s="23">
        <v>139</v>
      </c>
      <c r="N23" s="23">
        <v>218</v>
      </c>
    </row>
    <row r="24" spans="1:14" ht="33.75" customHeight="1" x14ac:dyDescent="0.3">
      <c r="A24" s="7">
        <v>18</v>
      </c>
      <c r="B24" s="10"/>
      <c r="C24" s="11" t="s">
        <v>22</v>
      </c>
      <c r="D24" s="8" t="s">
        <v>76</v>
      </c>
      <c r="E24" s="8" t="s">
        <v>83</v>
      </c>
      <c r="F24" s="9" t="s">
        <v>29</v>
      </c>
      <c r="G24" s="9" t="s">
        <v>84</v>
      </c>
      <c r="H24" s="9" t="s">
        <v>80</v>
      </c>
      <c r="I24" s="25">
        <v>3200</v>
      </c>
      <c r="J24" s="26"/>
      <c r="K24" s="25">
        <v>1280</v>
      </c>
      <c r="L24" s="26"/>
      <c r="M24" s="25">
        <v>46</v>
      </c>
      <c r="N24" s="25">
        <v>131</v>
      </c>
    </row>
    <row r="25" spans="1:14" ht="33.75" customHeight="1" x14ac:dyDescent="0.3">
      <c r="A25" s="2">
        <v>19</v>
      </c>
      <c r="B25" s="10"/>
      <c r="C25" s="11" t="s">
        <v>22</v>
      </c>
      <c r="D25" s="5" t="s">
        <v>76</v>
      </c>
      <c r="E25" s="5" t="s">
        <v>85</v>
      </c>
      <c r="F25" s="6" t="s">
        <v>29</v>
      </c>
      <c r="G25" s="6" t="s">
        <v>86</v>
      </c>
      <c r="H25" s="6" t="s">
        <v>80</v>
      </c>
      <c r="I25" s="23">
        <v>10010</v>
      </c>
      <c r="J25" s="24"/>
      <c r="K25" s="23">
        <v>6225</v>
      </c>
      <c r="L25" s="24"/>
      <c r="M25" s="23">
        <v>278</v>
      </c>
      <c r="N25" s="23">
        <v>174</v>
      </c>
    </row>
    <row r="26" spans="1:14" ht="33.75" customHeight="1" x14ac:dyDescent="0.3">
      <c r="A26" s="7">
        <v>20</v>
      </c>
      <c r="B26" s="10"/>
      <c r="C26" s="11" t="s">
        <v>22</v>
      </c>
      <c r="D26" s="8" t="s">
        <v>76</v>
      </c>
      <c r="E26" s="8" t="s">
        <v>87</v>
      </c>
      <c r="F26" s="9" t="s">
        <v>78</v>
      </c>
      <c r="G26" s="30" t="s">
        <v>227</v>
      </c>
      <c r="H26" s="9" t="s">
        <v>80</v>
      </c>
      <c r="I26" s="25">
        <v>14830</v>
      </c>
      <c r="J26" s="26"/>
      <c r="K26" s="25">
        <v>5350</v>
      </c>
      <c r="L26" s="25">
        <v>50</v>
      </c>
      <c r="M26" s="25">
        <v>339</v>
      </c>
      <c r="N26" s="25">
        <v>31</v>
      </c>
    </row>
    <row r="27" spans="1:14" ht="33.75" customHeight="1" x14ac:dyDescent="0.3">
      <c r="A27" s="2">
        <v>21</v>
      </c>
      <c r="B27" s="10"/>
      <c r="C27" s="11" t="s">
        <v>22</v>
      </c>
      <c r="D27" s="5" t="s">
        <v>76</v>
      </c>
      <c r="E27" s="5" t="s">
        <v>88</v>
      </c>
      <c r="F27" s="6" t="s">
        <v>78</v>
      </c>
      <c r="G27" s="6" t="s">
        <v>89</v>
      </c>
      <c r="H27" s="6" t="s">
        <v>90</v>
      </c>
      <c r="I27" s="23">
        <v>313</v>
      </c>
      <c r="J27" s="24"/>
      <c r="K27" s="23">
        <v>172</v>
      </c>
      <c r="L27" s="23">
        <v>6</v>
      </c>
      <c r="M27" s="23">
        <v>28</v>
      </c>
      <c r="N27" s="23">
        <v>4</v>
      </c>
    </row>
    <row r="28" spans="1:14" ht="33.75" customHeight="1" x14ac:dyDescent="0.3">
      <c r="A28" s="7">
        <v>22</v>
      </c>
      <c r="B28" s="14"/>
      <c r="C28" s="15" t="s">
        <v>91</v>
      </c>
      <c r="D28" s="8" t="s">
        <v>92</v>
      </c>
      <c r="E28" s="8" t="s">
        <v>93</v>
      </c>
      <c r="F28" s="9" t="s">
        <v>94</v>
      </c>
      <c r="G28" s="16" t="s">
        <v>95</v>
      </c>
      <c r="H28" s="9" t="s">
        <v>96</v>
      </c>
      <c r="I28" s="26"/>
      <c r="J28" s="25">
        <v>121</v>
      </c>
      <c r="K28" s="26"/>
      <c r="L28" s="26"/>
      <c r="M28" s="25">
        <v>85</v>
      </c>
      <c r="N28" s="26"/>
    </row>
    <row r="29" spans="1:14" ht="33.75" customHeight="1" x14ac:dyDescent="0.3">
      <c r="A29" s="2">
        <v>23</v>
      </c>
      <c r="B29" s="14"/>
      <c r="C29" s="15" t="s">
        <v>91</v>
      </c>
      <c r="D29" s="5" t="s">
        <v>92</v>
      </c>
      <c r="E29" s="5" t="s">
        <v>97</v>
      </c>
      <c r="F29" s="6" t="s">
        <v>46</v>
      </c>
      <c r="G29" s="17" t="s">
        <v>95</v>
      </c>
      <c r="H29" s="6" t="s">
        <v>47</v>
      </c>
      <c r="I29" s="23">
        <v>46</v>
      </c>
      <c r="J29" s="24"/>
      <c r="K29" s="24"/>
      <c r="L29" s="24"/>
      <c r="M29" s="23">
        <v>1</v>
      </c>
      <c r="N29" s="24"/>
    </row>
    <row r="30" spans="1:14" ht="33.75" customHeight="1" x14ac:dyDescent="0.3">
      <c r="A30" s="7">
        <v>24</v>
      </c>
      <c r="B30" s="14"/>
      <c r="C30" s="15" t="s">
        <v>91</v>
      </c>
      <c r="D30" s="8" t="s">
        <v>76</v>
      </c>
      <c r="E30" s="8" t="s">
        <v>98</v>
      </c>
      <c r="F30" s="9" t="s">
        <v>99</v>
      </c>
      <c r="G30" s="9" t="s">
        <v>100</v>
      </c>
      <c r="H30" s="9" t="s">
        <v>101</v>
      </c>
      <c r="I30" s="25">
        <v>4195</v>
      </c>
      <c r="J30" s="26"/>
      <c r="K30" s="26"/>
      <c r="L30" s="26"/>
      <c r="M30" s="25">
        <v>31</v>
      </c>
      <c r="N30" s="26"/>
    </row>
    <row r="31" spans="1:14" ht="33.75" customHeight="1" x14ac:dyDescent="0.3">
      <c r="A31" s="2">
        <v>25</v>
      </c>
      <c r="B31" s="14"/>
      <c r="C31" s="15" t="s">
        <v>91</v>
      </c>
      <c r="D31" s="5" t="s">
        <v>76</v>
      </c>
      <c r="E31" s="5" t="s">
        <v>102</v>
      </c>
      <c r="F31" s="6" t="s">
        <v>29</v>
      </c>
      <c r="G31" s="6" t="s">
        <v>103</v>
      </c>
      <c r="H31" s="6" t="s">
        <v>104</v>
      </c>
      <c r="I31" s="23">
        <v>408</v>
      </c>
      <c r="J31" s="24"/>
      <c r="K31" s="23">
        <v>110</v>
      </c>
      <c r="L31" s="24"/>
      <c r="M31" s="23">
        <v>36</v>
      </c>
      <c r="N31" s="23">
        <v>141</v>
      </c>
    </row>
    <row r="32" spans="1:14" ht="33.75" customHeight="1" x14ac:dyDescent="0.3">
      <c r="A32" s="7">
        <v>26</v>
      </c>
      <c r="B32" s="14"/>
      <c r="C32" s="15" t="s">
        <v>91</v>
      </c>
      <c r="D32" s="8" t="s">
        <v>76</v>
      </c>
      <c r="E32" s="8" t="s">
        <v>105</v>
      </c>
      <c r="F32" s="9" t="s">
        <v>29</v>
      </c>
      <c r="G32" s="16" t="s">
        <v>95</v>
      </c>
      <c r="H32" s="9" t="s">
        <v>104</v>
      </c>
      <c r="I32" s="25">
        <v>432</v>
      </c>
      <c r="J32" s="26"/>
      <c r="K32" s="26"/>
      <c r="L32" s="26"/>
      <c r="M32" s="25">
        <v>22</v>
      </c>
      <c r="N32" s="26"/>
    </row>
    <row r="33" spans="1:14" ht="33.75" customHeight="1" x14ac:dyDescent="0.3">
      <c r="A33" s="2">
        <v>27</v>
      </c>
      <c r="B33" s="14"/>
      <c r="C33" s="15" t="s">
        <v>91</v>
      </c>
      <c r="D33" s="5" t="s">
        <v>76</v>
      </c>
      <c r="E33" s="5" t="s">
        <v>106</v>
      </c>
      <c r="F33" s="6" t="s">
        <v>99</v>
      </c>
      <c r="G33" s="6" t="s">
        <v>107</v>
      </c>
      <c r="H33" s="6" t="s">
        <v>108</v>
      </c>
      <c r="I33" s="23">
        <v>784</v>
      </c>
      <c r="J33" s="24"/>
      <c r="K33" s="24"/>
      <c r="L33" s="24"/>
      <c r="M33" s="23">
        <v>13</v>
      </c>
      <c r="N33" s="24"/>
    </row>
    <row r="34" spans="1:14" ht="33.75" customHeight="1" x14ac:dyDescent="0.3">
      <c r="A34" s="7">
        <v>28</v>
      </c>
      <c r="B34" s="14"/>
      <c r="C34" s="15" t="s">
        <v>91</v>
      </c>
      <c r="D34" s="8" t="s">
        <v>76</v>
      </c>
      <c r="E34" s="8" t="s">
        <v>109</v>
      </c>
      <c r="F34" s="9" t="s">
        <v>99</v>
      </c>
      <c r="G34" s="16" t="s">
        <v>95</v>
      </c>
      <c r="H34" s="9" t="s">
        <v>110</v>
      </c>
      <c r="I34" s="25">
        <v>16514</v>
      </c>
      <c r="J34" s="26"/>
      <c r="K34" s="25">
        <v>330</v>
      </c>
      <c r="L34" s="26"/>
      <c r="M34" s="25">
        <v>334</v>
      </c>
      <c r="N34" s="26"/>
    </row>
    <row r="35" spans="1:14" ht="33.75" customHeight="1" x14ac:dyDescent="0.3">
      <c r="A35" s="2">
        <v>29</v>
      </c>
      <c r="B35" s="14"/>
      <c r="C35" s="15" t="s">
        <v>91</v>
      </c>
      <c r="D35" s="5" t="s">
        <v>76</v>
      </c>
      <c r="E35" s="5" t="s">
        <v>111</v>
      </c>
      <c r="F35" s="6" t="s">
        <v>78</v>
      </c>
      <c r="G35" s="17" t="s">
        <v>95</v>
      </c>
      <c r="H35" s="6" t="s">
        <v>112</v>
      </c>
      <c r="I35" s="23">
        <v>1465</v>
      </c>
      <c r="J35" s="24"/>
      <c r="K35" s="23">
        <v>100</v>
      </c>
      <c r="L35" s="24"/>
      <c r="M35" s="23">
        <v>101</v>
      </c>
      <c r="N35" s="24"/>
    </row>
    <row r="36" spans="1:14" ht="33.75" customHeight="1" x14ac:dyDescent="0.3">
      <c r="A36" s="7">
        <v>30</v>
      </c>
      <c r="B36" s="14"/>
      <c r="C36" s="15" t="s">
        <v>91</v>
      </c>
      <c r="D36" s="8" t="s">
        <v>76</v>
      </c>
      <c r="E36" s="8" t="s">
        <v>113</v>
      </c>
      <c r="F36" s="9" t="s">
        <v>17</v>
      </c>
      <c r="G36" s="30" t="s">
        <v>224</v>
      </c>
      <c r="H36" s="9" t="s">
        <v>112</v>
      </c>
      <c r="I36" s="25">
        <v>2217</v>
      </c>
      <c r="J36" s="26"/>
      <c r="K36" s="25">
        <v>420</v>
      </c>
      <c r="L36" s="26"/>
      <c r="M36" s="25">
        <v>115</v>
      </c>
      <c r="N36" s="25">
        <v>1314</v>
      </c>
    </row>
    <row r="37" spans="1:14" ht="33.75" customHeight="1" x14ac:dyDescent="0.3">
      <c r="A37" s="2">
        <v>31</v>
      </c>
      <c r="B37" s="14"/>
      <c r="C37" s="15" t="s">
        <v>91</v>
      </c>
      <c r="D37" s="5" t="s">
        <v>114</v>
      </c>
      <c r="E37" s="5" t="s">
        <v>115</v>
      </c>
      <c r="F37" s="6" t="s">
        <v>17</v>
      </c>
      <c r="G37" s="6" t="s">
        <v>116</v>
      </c>
      <c r="H37" s="6" t="s">
        <v>117</v>
      </c>
      <c r="I37" s="23">
        <v>3269</v>
      </c>
      <c r="J37" s="24"/>
      <c r="K37" s="24"/>
      <c r="L37" s="24"/>
      <c r="M37" s="23">
        <v>55</v>
      </c>
      <c r="N37" s="24"/>
    </row>
    <row r="38" spans="1:14" ht="33.75" customHeight="1" x14ac:dyDescent="0.3">
      <c r="A38" s="7">
        <v>32</v>
      </c>
      <c r="B38" s="12"/>
      <c r="C38" s="13" t="s">
        <v>118</v>
      </c>
      <c r="D38" s="8" t="s">
        <v>119</v>
      </c>
      <c r="E38" s="8" t="s">
        <v>120</v>
      </c>
      <c r="F38" s="9" t="s">
        <v>51</v>
      </c>
      <c r="G38" s="9" t="s">
        <v>121</v>
      </c>
      <c r="H38" s="9" t="s">
        <v>122</v>
      </c>
      <c r="I38" s="25">
        <v>2575</v>
      </c>
      <c r="J38" s="26"/>
      <c r="K38" s="25">
        <v>990</v>
      </c>
      <c r="L38" s="25">
        <v>900</v>
      </c>
      <c r="M38" s="25">
        <v>23</v>
      </c>
      <c r="N38" s="26"/>
    </row>
    <row r="39" spans="1:14" ht="33.75" customHeight="1" x14ac:dyDescent="0.3">
      <c r="A39" s="2">
        <v>33</v>
      </c>
      <c r="B39" s="12"/>
      <c r="C39" s="13" t="s">
        <v>118</v>
      </c>
      <c r="D39" s="5" t="s">
        <v>123</v>
      </c>
      <c r="E39" s="5" t="s">
        <v>124</v>
      </c>
      <c r="F39" s="6" t="s">
        <v>41</v>
      </c>
      <c r="G39" s="6" t="s">
        <v>125</v>
      </c>
      <c r="H39" s="6" t="s">
        <v>126</v>
      </c>
      <c r="I39" s="23">
        <v>84</v>
      </c>
      <c r="J39" s="24"/>
      <c r="K39" s="23">
        <v>200</v>
      </c>
      <c r="L39" s="23">
        <v>75</v>
      </c>
      <c r="M39" s="23">
        <v>3</v>
      </c>
      <c r="N39" s="24"/>
    </row>
    <row r="40" spans="1:14" ht="33.75" customHeight="1" x14ac:dyDescent="0.3">
      <c r="A40" s="7">
        <v>34</v>
      </c>
      <c r="B40" s="12"/>
      <c r="C40" s="13" t="s">
        <v>118</v>
      </c>
      <c r="D40" s="8" t="s">
        <v>127</v>
      </c>
      <c r="E40" s="8" t="s">
        <v>128</v>
      </c>
      <c r="F40" s="9" t="s">
        <v>46</v>
      </c>
      <c r="G40" s="9" t="s">
        <v>129</v>
      </c>
      <c r="H40" s="9" t="s">
        <v>130</v>
      </c>
      <c r="I40" s="25">
        <v>387</v>
      </c>
      <c r="J40" s="26"/>
      <c r="K40" s="25">
        <v>1215</v>
      </c>
      <c r="L40" s="25">
        <v>1175</v>
      </c>
      <c r="M40" s="25">
        <v>17</v>
      </c>
      <c r="N40" s="25">
        <v>48</v>
      </c>
    </row>
    <row r="41" spans="1:14" ht="33.75" customHeight="1" x14ac:dyDescent="0.3">
      <c r="A41" s="2">
        <v>35</v>
      </c>
      <c r="B41" s="12"/>
      <c r="C41" s="13" t="s">
        <v>118</v>
      </c>
      <c r="D41" s="5" t="s">
        <v>119</v>
      </c>
      <c r="E41" s="5" t="s">
        <v>131</v>
      </c>
      <c r="F41" s="6" t="s">
        <v>46</v>
      </c>
      <c r="G41" s="29" t="s">
        <v>225</v>
      </c>
      <c r="H41" s="6" t="s">
        <v>132</v>
      </c>
      <c r="I41" s="23">
        <v>462</v>
      </c>
      <c r="J41" s="24"/>
      <c r="K41" s="23">
        <v>710</v>
      </c>
      <c r="L41" s="24"/>
      <c r="M41" s="23">
        <v>24</v>
      </c>
      <c r="N41" s="24"/>
    </row>
    <row r="42" spans="1:14" ht="33.75" customHeight="1" x14ac:dyDescent="0.3">
      <c r="A42" s="7">
        <v>36</v>
      </c>
      <c r="B42" s="12"/>
      <c r="C42" s="13" t="s">
        <v>118</v>
      </c>
      <c r="D42" s="8" t="s">
        <v>119</v>
      </c>
      <c r="E42" s="8" t="s">
        <v>133</v>
      </c>
      <c r="F42" s="9" t="s">
        <v>134</v>
      </c>
      <c r="G42" s="9" t="s">
        <v>135</v>
      </c>
      <c r="H42" s="9" t="s">
        <v>136</v>
      </c>
      <c r="I42" s="25">
        <v>1831</v>
      </c>
      <c r="J42" s="26"/>
      <c r="K42" s="25">
        <v>2540</v>
      </c>
      <c r="L42" s="25">
        <v>950</v>
      </c>
      <c r="M42" s="25">
        <v>25</v>
      </c>
      <c r="N42" s="25">
        <v>273</v>
      </c>
    </row>
    <row r="43" spans="1:14" ht="33.75" customHeight="1" x14ac:dyDescent="0.3">
      <c r="A43" s="2">
        <v>37</v>
      </c>
      <c r="B43" s="12"/>
      <c r="C43" s="13" t="s">
        <v>118</v>
      </c>
      <c r="D43" s="5" t="s">
        <v>137</v>
      </c>
      <c r="E43" s="5" t="s">
        <v>138</v>
      </c>
      <c r="F43" s="6" t="s">
        <v>46</v>
      </c>
      <c r="G43" s="6" t="s">
        <v>139</v>
      </c>
      <c r="H43" s="6" t="s">
        <v>140</v>
      </c>
      <c r="I43" s="23">
        <v>2110</v>
      </c>
      <c r="J43" s="24"/>
      <c r="K43" s="23">
        <v>2590</v>
      </c>
      <c r="L43" s="23">
        <v>1360</v>
      </c>
      <c r="M43" s="23">
        <v>21</v>
      </c>
      <c r="N43" s="24"/>
    </row>
    <row r="44" spans="1:14" ht="33.75" customHeight="1" x14ac:dyDescent="0.3">
      <c r="A44" s="7">
        <v>38</v>
      </c>
      <c r="B44" s="12"/>
      <c r="C44" s="13" t="s">
        <v>118</v>
      </c>
      <c r="D44" s="8" t="s">
        <v>137</v>
      </c>
      <c r="E44" s="8" t="s">
        <v>65</v>
      </c>
      <c r="F44" s="9" t="s">
        <v>25</v>
      </c>
      <c r="G44" s="9" t="s">
        <v>116</v>
      </c>
      <c r="H44" s="9" t="s">
        <v>141</v>
      </c>
      <c r="I44" s="25">
        <v>10022</v>
      </c>
      <c r="J44" s="26"/>
      <c r="K44" s="26"/>
      <c r="L44" s="26"/>
      <c r="M44" s="25">
        <v>204</v>
      </c>
      <c r="N44" s="26"/>
    </row>
    <row r="45" spans="1:14" ht="33.75" customHeight="1" x14ac:dyDescent="0.3">
      <c r="A45" s="2">
        <v>39</v>
      </c>
      <c r="B45" s="3"/>
      <c r="C45" s="4" t="s">
        <v>14</v>
      </c>
      <c r="D45" s="5" t="s">
        <v>15</v>
      </c>
      <c r="E45" s="5" t="s">
        <v>142</v>
      </c>
      <c r="F45" s="6" t="s">
        <v>17</v>
      </c>
      <c r="G45" s="6" t="s">
        <v>18</v>
      </c>
      <c r="H45" s="6" t="s">
        <v>143</v>
      </c>
      <c r="I45" s="23">
        <v>7077</v>
      </c>
      <c r="J45" s="24"/>
      <c r="K45" s="24"/>
      <c r="L45" s="24"/>
      <c r="M45" s="23">
        <v>111</v>
      </c>
      <c r="N45" s="24"/>
    </row>
    <row r="46" spans="1:14" ht="33.75" customHeight="1" x14ac:dyDescent="0.3">
      <c r="A46" s="7">
        <v>40</v>
      </c>
      <c r="B46" s="3"/>
      <c r="C46" s="4" t="s">
        <v>14</v>
      </c>
      <c r="D46" s="8" t="s">
        <v>27</v>
      </c>
      <c r="E46" s="8" t="s">
        <v>144</v>
      </c>
      <c r="F46" s="9" t="s">
        <v>78</v>
      </c>
      <c r="G46" s="9" t="s">
        <v>145</v>
      </c>
      <c r="H46" s="9" t="s">
        <v>146</v>
      </c>
      <c r="I46" s="25">
        <v>2230</v>
      </c>
      <c r="J46" s="26"/>
      <c r="K46" s="26"/>
      <c r="L46" s="26"/>
      <c r="M46" s="25">
        <v>32</v>
      </c>
      <c r="N46" s="25">
        <v>132</v>
      </c>
    </row>
    <row r="47" spans="1:14" ht="33.75" customHeight="1" x14ac:dyDescent="0.3">
      <c r="A47" s="2">
        <v>41</v>
      </c>
      <c r="B47" s="3"/>
      <c r="C47" s="4" t="s">
        <v>14</v>
      </c>
      <c r="D47" s="5" t="s">
        <v>15</v>
      </c>
      <c r="E47" s="5" t="s">
        <v>147</v>
      </c>
      <c r="F47" s="6" t="s">
        <v>99</v>
      </c>
      <c r="G47" s="6" t="s">
        <v>148</v>
      </c>
      <c r="H47" s="6" t="s">
        <v>149</v>
      </c>
      <c r="I47" s="23">
        <v>551</v>
      </c>
      <c r="J47" s="24"/>
      <c r="K47" s="23">
        <v>3184</v>
      </c>
      <c r="L47" s="23">
        <v>257</v>
      </c>
      <c r="M47" s="23">
        <v>95</v>
      </c>
      <c r="N47" s="23">
        <v>132</v>
      </c>
    </row>
    <row r="48" spans="1:14" ht="33.75" customHeight="1" x14ac:dyDescent="0.3">
      <c r="A48" s="7">
        <v>42</v>
      </c>
      <c r="B48" s="3"/>
      <c r="C48" s="4" t="s">
        <v>14</v>
      </c>
      <c r="D48" s="8" t="s">
        <v>150</v>
      </c>
      <c r="E48" s="8" t="s">
        <v>151</v>
      </c>
      <c r="F48" s="9" t="s">
        <v>78</v>
      </c>
      <c r="G48" s="9" t="s">
        <v>152</v>
      </c>
      <c r="H48" s="9" t="s">
        <v>153</v>
      </c>
      <c r="I48" s="25">
        <v>1184.5</v>
      </c>
      <c r="J48" s="26"/>
      <c r="K48" s="25">
        <v>144</v>
      </c>
      <c r="L48" s="26"/>
      <c r="M48" s="25">
        <v>23</v>
      </c>
      <c r="N48" s="26"/>
    </row>
    <row r="49" spans="1:14" ht="33.75" customHeight="1" x14ac:dyDescent="0.3">
      <c r="A49" s="2">
        <v>43</v>
      </c>
      <c r="B49" s="3"/>
      <c r="C49" s="4" t="s">
        <v>14</v>
      </c>
      <c r="D49" s="5" t="s">
        <v>154</v>
      </c>
      <c r="E49" s="5" t="s">
        <v>155</v>
      </c>
      <c r="F49" s="6" t="s">
        <v>94</v>
      </c>
      <c r="G49" s="29" t="s">
        <v>226</v>
      </c>
      <c r="H49" s="6" t="s">
        <v>156</v>
      </c>
      <c r="I49" s="23">
        <v>1625.8</v>
      </c>
      <c r="J49" s="24"/>
      <c r="K49" s="24"/>
      <c r="L49" s="24"/>
      <c r="M49" s="23">
        <v>4</v>
      </c>
      <c r="N49" s="24"/>
    </row>
    <row r="50" spans="1:14" ht="33.75" customHeight="1" x14ac:dyDescent="0.3">
      <c r="A50" s="7">
        <v>44</v>
      </c>
      <c r="B50" s="3"/>
      <c r="C50" s="4" t="s">
        <v>14</v>
      </c>
      <c r="D50" s="8" t="s">
        <v>157</v>
      </c>
      <c r="E50" s="8" t="s">
        <v>158</v>
      </c>
      <c r="F50" s="9" t="s">
        <v>41</v>
      </c>
      <c r="G50" s="9" t="s">
        <v>159</v>
      </c>
      <c r="H50" s="9" t="s">
        <v>160</v>
      </c>
      <c r="I50" s="25">
        <v>3610</v>
      </c>
      <c r="J50" s="26"/>
      <c r="K50" s="26"/>
      <c r="L50" s="26"/>
      <c r="M50" s="25">
        <v>27</v>
      </c>
      <c r="N50" s="26"/>
    </row>
    <row r="51" spans="1:14" ht="33.75" customHeight="1" x14ac:dyDescent="0.3">
      <c r="A51" s="2">
        <v>45</v>
      </c>
      <c r="B51" s="3"/>
      <c r="C51" s="4" t="s">
        <v>14</v>
      </c>
      <c r="D51" s="5" t="s">
        <v>161</v>
      </c>
      <c r="E51" s="5" t="s">
        <v>162</v>
      </c>
      <c r="F51" s="6" t="s">
        <v>41</v>
      </c>
      <c r="G51" s="29" t="s">
        <v>229</v>
      </c>
      <c r="H51" s="6" t="s">
        <v>163</v>
      </c>
      <c r="I51" s="23">
        <v>7131</v>
      </c>
      <c r="J51" s="24"/>
      <c r="K51" s="23">
        <v>6243</v>
      </c>
      <c r="L51" s="23">
        <v>1227</v>
      </c>
      <c r="M51" s="23">
        <v>65</v>
      </c>
      <c r="N51" s="23">
        <v>214</v>
      </c>
    </row>
    <row r="52" spans="1:14" ht="33.75" customHeight="1" x14ac:dyDescent="0.3">
      <c r="A52" s="7">
        <v>46</v>
      </c>
      <c r="B52" s="3"/>
      <c r="C52" s="4" t="s">
        <v>14</v>
      </c>
      <c r="D52" s="8" t="s">
        <v>164</v>
      </c>
      <c r="E52" s="8" t="s">
        <v>165</v>
      </c>
      <c r="F52" s="9" t="s">
        <v>134</v>
      </c>
      <c r="G52" s="9" t="s">
        <v>166</v>
      </c>
      <c r="H52" s="9" t="s">
        <v>167</v>
      </c>
      <c r="I52" s="25">
        <v>512</v>
      </c>
      <c r="J52" s="25">
        <v>78</v>
      </c>
      <c r="K52" s="25">
        <v>4528</v>
      </c>
      <c r="L52" s="25">
        <v>285</v>
      </c>
      <c r="M52" s="25">
        <v>85</v>
      </c>
      <c r="N52" s="25">
        <v>358</v>
      </c>
    </row>
    <row r="53" spans="1:14" ht="33.75" customHeight="1" x14ac:dyDescent="0.3">
      <c r="A53" s="2">
        <v>47</v>
      </c>
      <c r="B53" s="3"/>
      <c r="C53" s="4" t="s">
        <v>14</v>
      </c>
      <c r="D53" s="5" t="s">
        <v>168</v>
      </c>
      <c r="E53" s="5" t="s">
        <v>169</v>
      </c>
      <c r="F53" s="6" t="s">
        <v>46</v>
      </c>
      <c r="G53" s="6" t="s">
        <v>170</v>
      </c>
      <c r="H53" s="6" t="s">
        <v>171</v>
      </c>
      <c r="I53" s="23">
        <v>1630</v>
      </c>
      <c r="J53" s="24"/>
      <c r="K53" s="24"/>
      <c r="L53" s="24"/>
      <c r="M53" s="23">
        <v>42</v>
      </c>
      <c r="N53" s="24"/>
    </row>
    <row r="54" spans="1:14" ht="33.75" customHeight="1" x14ac:dyDescent="0.3">
      <c r="A54" s="7">
        <v>48</v>
      </c>
      <c r="B54" s="3"/>
      <c r="C54" s="4" t="s">
        <v>14</v>
      </c>
      <c r="D54" s="8" t="s">
        <v>172</v>
      </c>
      <c r="E54" s="8" t="s">
        <v>173</v>
      </c>
      <c r="F54" s="9" t="s">
        <v>134</v>
      </c>
      <c r="G54" s="9" t="s">
        <v>121</v>
      </c>
      <c r="H54" s="9" t="s">
        <v>174</v>
      </c>
      <c r="I54" s="26"/>
      <c r="J54" s="25">
        <v>56</v>
      </c>
      <c r="K54" s="25">
        <v>3977</v>
      </c>
      <c r="L54" s="25">
        <v>3380</v>
      </c>
      <c r="M54" s="25">
        <v>57</v>
      </c>
      <c r="N54" s="25">
        <v>304</v>
      </c>
    </row>
    <row r="55" spans="1:14" ht="33.75" customHeight="1" x14ac:dyDescent="0.3">
      <c r="A55" s="2">
        <v>49</v>
      </c>
      <c r="B55" s="3"/>
      <c r="C55" s="4" t="s">
        <v>14</v>
      </c>
      <c r="D55" s="5" t="s">
        <v>175</v>
      </c>
      <c r="E55" s="5" t="s">
        <v>176</v>
      </c>
      <c r="F55" s="6" t="s">
        <v>51</v>
      </c>
      <c r="G55" s="6" t="s">
        <v>177</v>
      </c>
      <c r="H55" s="6" t="s">
        <v>178</v>
      </c>
      <c r="I55" s="23">
        <v>3310</v>
      </c>
      <c r="J55" s="24"/>
      <c r="K55" s="24"/>
      <c r="L55" s="24"/>
      <c r="M55" s="23">
        <v>41</v>
      </c>
      <c r="N55" s="24"/>
    </row>
    <row r="56" spans="1:14" ht="33.75" customHeight="1" x14ac:dyDescent="0.3">
      <c r="A56" s="7">
        <v>50</v>
      </c>
      <c r="B56" s="3"/>
      <c r="C56" s="4" t="s">
        <v>14</v>
      </c>
      <c r="D56" s="8" t="s">
        <v>179</v>
      </c>
      <c r="E56" s="8" t="s">
        <v>180</v>
      </c>
      <c r="F56" s="9" t="s">
        <v>17</v>
      </c>
      <c r="G56" s="9" t="s">
        <v>181</v>
      </c>
      <c r="H56" s="9" t="s">
        <v>182</v>
      </c>
      <c r="I56" s="25">
        <v>901</v>
      </c>
      <c r="J56" s="26"/>
      <c r="K56" s="26"/>
      <c r="L56" s="26"/>
      <c r="M56" s="25">
        <v>15</v>
      </c>
      <c r="N56" s="25">
        <v>31</v>
      </c>
    </row>
    <row r="57" spans="1:14" ht="33.75" customHeight="1" x14ac:dyDescent="0.3">
      <c r="A57" s="2">
        <v>51</v>
      </c>
      <c r="B57" s="3"/>
      <c r="C57" s="4" t="s">
        <v>14</v>
      </c>
      <c r="D57" s="5" t="s">
        <v>15</v>
      </c>
      <c r="E57" s="5" t="s">
        <v>183</v>
      </c>
      <c r="F57" s="6" t="s">
        <v>25</v>
      </c>
      <c r="G57" s="6" t="s">
        <v>184</v>
      </c>
      <c r="H57" s="6" t="s">
        <v>185</v>
      </c>
      <c r="I57" s="23">
        <v>169</v>
      </c>
      <c r="J57" s="24"/>
      <c r="K57" s="23">
        <v>1260</v>
      </c>
      <c r="L57" s="23">
        <v>620</v>
      </c>
      <c r="M57" s="23">
        <v>35</v>
      </c>
      <c r="N57" s="23">
        <v>120</v>
      </c>
    </row>
    <row r="58" spans="1:14" ht="33.75" customHeight="1" x14ac:dyDescent="0.3">
      <c r="A58" s="7">
        <v>52</v>
      </c>
      <c r="B58" s="18"/>
      <c r="C58" s="19" t="s">
        <v>186</v>
      </c>
      <c r="D58" s="8" t="s">
        <v>187</v>
      </c>
      <c r="E58" s="8" t="s">
        <v>188</v>
      </c>
      <c r="F58" s="9" t="s">
        <v>17</v>
      </c>
      <c r="G58" s="9" t="s">
        <v>135</v>
      </c>
      <c r="H58" s="9" t="s">
        <v>189</v>
      </c>
      <c r="I58" s="25">
        <v>3880</v>
      </c>
      <c r="J58" s="26"/>
      <c r="K58" s="26"/>
      <c r="L58" s="26"/>
      <c r="M58" s="25">
        <v>15</v>
      </c>
      <c r="N58" s="26"/>
    </row>
    <row r="59" spans="1:14" ht="33.75" customHeight="1" x14ac:dyDescent="0.3">
      <c r="A59" s="2">
        <v>53</v>
      </c>
      <c r="B59" s="10"/>
      <c r="C59" s="11" t="s">
        <v>22</v>
      </c>
      <c r="D59" s="5" t="s">
        <v>76</v>
      </c>
      <c r="E59" s="5" t="s">
        <v>190</v>
      </c>
      <c r="F59" s="6" t="s">
        <v>78</v>
      </c>
      <c r="G59" s="6" t="s">
        <v>191</v>
      </c>
      <c r="H59" s="6" t="s">
        <v>192</v>
      </c>
      <c r="I59" s="24"/>
      <c r="J59" s="24"/>
      <c r="K59" s="23">
        <v>1220</v>
      </c>
      <c r="L59" s="24"/>
      <c r="M59" s="24"/>
      <c r="N59" s="23">
        <v>144</v>
      </c>
    </row>
    <row r="60" spans="1:14" ht="33.75" customHeight="1" x14ac:dyDescent="0.3">
      <c r="A60" s="7">
        <v>54</v>
      </c>
      <c r="B60" s="10"/>
      <c r="C60" s="11" t="s">
        <v>22</v>
      </c>
      <c r="D60" s="8" t="s">
        <v>76</v>
      </c>
      <c r="E60" s="8" t="s">
        <v>193</v>
      </c>
      <c r="F60" s="9" t="s">
        <v>29</v>
      </c>
      <c r="G60" s="16" t="s">
        <v>95</v>
      </c>
      <c r="H60" s="9" t="s">
        <v>80</v>
      </c>
      <c r="I60" s="25">
        <v>400</v>
      </c>
      <c r="J60" s="26"/>
      <c r="K60" s="25">
        <v>135</v>
      </c>
      <c r="L60" s="26"/>
      <c r="M60" s="26"/>
      <c r="N60" s="26"/>
    </row>
    <row r="61" spans="1:14" ht="45" customHeight="1" x14ac:dyDescent="0.3">
      <c r="A61" s="2">
        <v>55</v>
      </c>
      <c r="B61" s="10"/>
      <c r="C61" s="11" t="s">
        <v>22</v>
      </c>
      <c r="D61" s="5" t="s">
        <v>76</v>
      </c>
      <c r="E61" s="5" t="s">
        <v>194</v>
      </c>
      <c r="F61" s="6" t="s">
        <v>29</v>
      </c>
      <c r="G61" s="29" t="s">
        <v>195</v>
      </c>
      <c r="H61" s="6" t="s">
        <v>80</v>
      </c>
      <c r="I61" s="24"/>
      <c r="J61" s="24"/>
      <c r="K61" s="23">
        <v>37400</v>
      </c>
      <c r="L61" s="24"/>
      <c r="M61" s="23">
        <v>55</v>
      </c>
      <c r="N61" s="23">
        <v>1611</v>
      </c>
    </row>
    <row r="62" spans="1:14" ht="33.75" customHeight="1" x14ac:dyDescent="0.3">
      <c r="A62" s="7">
        <v>56</v>
      </c>
      <c r="B62" s="10"/>
      <c r="C62" s="11" t="s">
        <v>22</v>
      </c>
      <c r="D62" s="8" t="s">
        <v>76</v>
      </c>
      <c r="E62" s="8" t="s">
        <v>196</v>
      </c>
      <c r="F62" s="9" t="s">
        <v>78</v>
      </c>
      <c r="G62" s="16" t="s">
        <v>95</v>
      </c>
      <c r="H62" s="9" t="s">
        <v>80</v>
      </c>
      <c r="I62" s="25">
        <v>13000</v>
      </c>
      <c r="J62" s="26"/>
      <c r="K62" s="26"/>
      <c r="L62" s="26"/>
      <c r="M62" s="25">
        <v>226</v>
      </c>
      <c r="N62" s="26"/>
    </row>
    <row r="63" spans="1:14" ht="33.75" customHeight="1" x14ac:dyDescent="0.3">
      <c r="A63" s="2">
        <v>57</v>
      </c>
      <c r="B63" s="10"/>
      <c r="C63" s="11" t="s">
        <v>22</v>
      </c>
      <c r="D63" s="5" t="s">
        <v>76</v>
      </c>
      <c r="E63" s="5" t="s">
        <v>197</v>
      </c>
      <c r="F63" s="6" t="s">
        <v>78</v>
      </c>
      <c r="G63" s="6" t="s">
        <v>198</v>
      </c>
      <c r="H63" s="6" t="s">
        <v>80</v>
      </c>
      <c r="I63" s="24"/>
      <c r="J63" s="24"/>
      <c r="K63" s="23">
        <v>150</v>
      </c>
      <c r="L63" s="23">
        <v>4</v>
      </c>
      <c r="M63" s="23">
        <v>1</v>
      </c>
      <c r="N63" s="23">
        <v>1</v>
      </c>
    </row>
    <row r="64" spans="1:14" ht="33.75" customHeight="1" x14ac:dyDescent="0.3">
      <c r="A64" s="7">
        <v>58</v>
      </c>
      <c r="B64" s="10"/>
      <c r="C64" s="11" t="s">
        <v>22</v>
      </c>
      <c r="D64" s="8" t="s">
        <v>76</v>
      </c>
      <c r="E64" s="8" t="s">
        <v>199</v>
      </c>
      <c r="F64" s="9" t="s">
        <v>78</v>
      </c>
      <c r="G64" s="9" t="s">
        <v>200</v>
      </c>
      <c r="H64" s="9" t="s">
        <v>80</v>
      </c>
      <c r="I64" s="26"/>
      <c r="J64" s="26"/>
      <c r="K64" s="25">
        <v>100</v>
      </c>
      <c r="L64" s="25">
        <v>4</v>
      </c>
      <c r="M64" s="25">
        <v>1</v>
      </c>
      <c r="N64" s="25">
        <v>1</v>
      </c>
    </row>
    <row r="65" spans="1:14" ht="33.75" customHeight="1" x14ac:dyDescent="0.3">
      <c r="A65" s="2">
        <v>59</v>
      </c>
      <c r="B65" s="10"/>
      <c r="C65" s="11" t="s">
        <v>22</v>
      </c>
      <c r="D65" s="5" t="s">
        <v>76</v>
      </c>
      <c r="E65" s="5" t="s">
        <v>201</v>
      </c>
      <c r="F65" s="6" t="s">
        <v>78</v>
      </c>
      <c r="G65" s="6" t="s">
        <v>202</v>
      </c>
      <c r="H65" s="6" t="s">
        <v>80</v>
      </c>
      <c r="I65" s="24"/>
      <c r="J65" s="24"/>
      <c r="K65" s="23">
        <v>150</v>
      </c>
      <c r="L65" s="23">
        <v>3</v>
      </c>
      <c r="M65" s="23">
        <v>1</v>
      </c>
      <c r="N65" s="23">
        <v>1</v>
      </c>
    </row>
    <row r="66" spans="1:14" ht="33.75" customHeight="1" x14ac:dyDescent="0.3">
      <c r="A66" s="7">
        <v>60</v>
      </c>
      <c r="B66" s="12"/>
      <c r="C66" s="13" t="s">
        <v>48</v>
      </c>
      <c r="D66" s="8" t="s">
        <v>58</v>
      </c>
      <c r="E66" s="8" t="s">
        <v>203</v>
      </c>
      <c r="F66" s="9" t="s">
        <v>78</v>
      </c>
      <c r="G66" s="9" t="s">
        <v>204</v>
      </c>
      <c r="H66" s="9" t="s">
        <v>80</v>
      </c>
      <c r="I66" s="25">
        <v>3400</v>
      </c>
      <c r="J66" s="26"/>
      <c r="K66" s="26"/>
      <c r="L66" s="26"/>
      <c r="M66" s="25">
        <v>101</v>
      </c>
      <c r="N66" s="26"/>
    </row>
    <row r="67" spans="1:14" ht="33.75" customHeight="1" x14ac:dyDescent="0.3">
      <c r="A67" s="2">
        <v>61</v>
      </c>
      <c r="B67" s="3"/>
      <c r="C67" s="4" t="s">
        <v>14</v>
      </c>
      <c r="D67" s="5" t="s">
        <v>205</v>
      </c>
      <c r="E67" s="5" t="s">
        <v>206</v>
      </c>
      <c r="F67" s="6">
        <v>2016</v>
      </c>
      <c r="G67" s="29" t="s">
        <v>228</v>
      </c>
      <c r="H67" s="6" t="s">
        <v>207</v>
      </c>
      <c r="I67" s="23">
        <v>12534</v>
      </c>
      <c r="J67" s="24"/>
      <c r="K67" s="24"/>
      <c r="L67" s="24"/>
      <c r="M67" s="23">
        <v>36</v>
      </c>
      <c r="N67" s="24"/>
    </row>
    <row r="68" spans="1:14" ht="33.75" customHeight="1" x14ac:dyDescent="0.3">
      <c r="A68" s="7">
        <v>62</v>
      </c>
      <c r="B68" s="3"/>
      <c r="C68" s="4" t="s">
        <v>14</v>
      </c>
      <c r="D68" s="8" t="s">
        <v>208</v>
      </c>
      <c r="E68" s="8" t="s">
        <v>209</v>
      </c>
      <c r="F68" s="9">
        <v>2018</v>
      </c>
      <c r="G68" s="9" t="s">
        <v>121</v>
      </c>
      <c r="H68" s="9" t="s">
        <v>210</v>
      </c>
      <c r="I68" s="25">
        <v>9136</v>
      </c>
      <c r="J68" s="26"/>
      <c r="K68" s="25">
        <v>1285</v>
      </c>
      <c r="L68" s="25">
        <v>1200</v>
      </c>
      <c r="M68" s="25">
        <v>30</v>
      </c>
      <c r="N68" s="25">
        <v>132</v>
      </c>
    </row>
    <row r="69" spans="1:14" ht="33.75" customHeight="1" x14ac:dyDescent="0.3">
      <c r="A69" s="2">
        <v>63</v>
      </c>
      <c r="B69" s="3"/>
      <c r="C69" s="4" t="s">
        <v>14</v>
      </c>
      <c r="D69" s="5" t="s">
        <v>27</v>
      </c>
      <c r="E69" s="5" t="s">
        <v>211</v>
      </c>
      <c r="F69" s="6" t="s">
        <v>99</v>
      </c>
      <c r="G69" s="6" t="s">
        <v>212</v>
      </c>
      <c r="H69" s="17" t="s">
        <v>95</v>
      </c>
      <c r="I69" s="24"/>
      <c r="J69" s="24"/>
      <c r="K69" s="23">
        <v>1845</v>
      </c>
      <c r="L69" s="23">
        <v>2050</v>
      </c>
      <c r="M69" s="23">
        <v>7</v>
      </c>
      <c r="N69" s="24"/>
    </row>
    <row r="70" spans="1:14" ht="33.75" customHeight="1" x14ac:dyDescent="0.3">
      <c r="A70" s="7">
        <v>64</v>
      </c>
      <c r="B70" s="14"/>
      <c r="C70" s="15" t="s">
        <v>91</v>
      </c>
      <c r="D70" s="8" t="s">
        <v>213</v>
      </c>
      <c r="E70" s="8" t="s">
        <v>214</v>
      </c>
      <c r="F70" s="9" t="s">
        <v>99</v>
      </c>
      <c r="G70" s="9" t="s">
        <v>121</v>
      </c>
      <c r="H70" s="9" t="s">
        <v>174</v>
      </c>
      <c r="I70" s="26"/>
      <c r="J70" s="25">
        <v>24</v>
      </c>
      <c r="K70" s="26"/>
      <c r="L70" s="26"/>
      <c r="M70" s="25">
        <v>16</v>
      </c>
      <c r="N70" s="26"/>
    </row>
    <row r="71" spans="1:14" ht="33.75" customHeight="1" x14ac:dyDescent="0.3">
      <c r="A71" s="2">
        <v>65</v>
      </c>
      <c r="B71" s="20"/>
      <c r="C71" s="21" t="s">
        <v>215</v>
      </c>
      <c r="D71" s="5" t="s">
        <v>231</v>
      </c>
      <c r="E71" s="5" t="s">
        <v>216</v>
      </c>
      <c r="F71" s="6" t="s">
        <v>17</v>
      </c>
      <c r="G71" s="6" t="s">
        <v>217</v>
      </c>
      <c r="H71" s="6" t="s">
        <v>218</v>
      </c>
      <c r="I71" s="23">
        <v>10754</v>
      </c>
      <c r="J71" s="24"/>
      <c r="K71" s="24"/>
      <c r="L71" s="24"/>
      <c r="M71" s="23">
        <v>103</v>
      </c>
      <c r="N71" s="24"/>
    </row>
    <row r="72" spans="1:14" ht="49.2" customHeight="1" x14ac:dyDescent="0.3">
      <c r="A72" s="38" t="s">
        <v>244</v>
      </c>
      <c r="B72" s="39"/>
      <c r="C72" s="39"/>
      <c r="D72" s="39"/>
      <c r="E72" s="39"/>
      <c r="F72" s="39"/>
      <c r="G72" s="39"/>
      <c r="H72" s="39"/>
      <c r="I72" s="27">
        <f t="shared" ref="I72:N72" si="0">SUM(I7:I71)</f>
        <v>235617.3</v>
      </c>
      <c r="J72" s="27">
        <f t="shared" si="0"/>
        <v>1640</v>
      </c>
      <c r="K72" s="27">
        <f t="shared" si="0"/>
        <v>123080</v>
      </c>
      <c r="L72" s="27">
        <f t="shared" si="0"/>
        <v>32829</v>
      </c>
      <c r="M72" s="27">
        <f t="shared" si="0"/>
        <v>4963</v>
      </c>
      <c r="N72" s="27">
        <f t="shared" si="0"/>
        <v>9007</v>
      </c>
    </row>
  </sheetData>
  <mergeCells count="18">
    <mergeCell ref="N5:N6"/>
    <mergeCell ref="A72:H72"/>
    <mergeCell ref="A2:N2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3:N3"/>
    <mergeCell ref="M5:M6"/>
  </mergeCells>
  <printOptions horizontalCentered="1"/>
  <pageMargins left="0.19685039370078741" right="0.19685039370078741" top="0.19685039370078741" bottom="0.19685039370078741" header="0.31496062992125984" footer="0.31496062992125984"/>
  <pageSetup paperSize="8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52A4-3F7D-4218-B329-7F40B99B7E08}">
  <sheetPr codeName="Лист2"/>
  <dimension ref="A1:A12"/>
  <sheetViews>
    <sheetView workbookViewId="0">
      <selection activeCell="A34" sqref="A34"/>
    </sheetView>
  </sheetViews>
  <sheetFormatPr defaultRowHeight="14.4" x14ac:dyDescent="0.3"/>
  <cols>
    <col min="1" max="1" width="86.77734375" customWidth="1"/>
  </cols>
  <sheetData>
    <row r="1" spans="1:1" x14ac:dyDescent="0.3">
      <c r="A1" s="40" t="s">
        <v>233</v>
      </c>
    </row>
    <row r="2" spans="1:1" x14ac:dyDescent="0.3">
      <c r="A2" s="40"/>
    </row>
    <row r="3" spans="1:1" x14ac:dyDescent="0.3">
      <c r="A3" s="29" t="s">
        <v>242</v>
      </c>
    </row>
    <row r="4" spans="1:1" x14ac:dyDescent="0.3">
      <c r="A4" s="30" t="s">
        <v>234</v>
      </c>
    </row>
    <row r="5" spans="1:1" x14ac:dyDescent="0.3">
      <c r="A5" s="29" t="s">
        <v>243</v>
      </c>
    </row>
    <row r="6" spans="1:1" x14ac:dyDescent="0.3">
      <c r="A6" s="30" t="s">
        <v>235</v>
      </c>
    </row>
    <row r="7" spans="1:1" x14ac:dyDescent="0.3">
      <c r="A7" s="29" t="s">
        <v>236</v>
      </c>
    </row>
    <row r="8" spans="1:1" x14ac:dyDescent="0.3">
      <c r="A8" s="30" t="s">
        <v>237</v>
      </c>
    </row>
    <row r="9" spans="1:1" x14ac:dyDescent="0.3">
      <c r="A9" s="29" t="s">
        <v>238</v>
      </c>
    </row>
    <row r="10" spans="1:1" x14ac:dyDescent="0.3">
      <c r="A10" s="30" t="s">
        <v>239</v>
      </c>
    </row>
    <row r="11" spans="1:1" x14ac:dyDescent="0.3">
      <c r="A11" s="29" t="s">
        <v>240</v>
      </c>
    </row>
    <row r="12" spans="1:1" x14ac:dyDescent="0.3">
      <c r="A12" s="30" t="s">
        <v>241</v>
      </c>
    </row>
  </sheetData>
  <mergeCells count="1">
    <mergeCell ref="A1:A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📋 Портфолио</vt:lpstr>
      <vt:lpstr>Что входит в полный цикл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u$er</cp:lastModifiedBy>
  <cp:revision>0</cp:revision>
  <cp:lastPrinted>2026-08-20T08:35:10Z</cp:lastPrinted>
  <dcterms:created xsi:type="dcterms:W3CDTF">2026-04-10T09:20:38Z</dcterms:created>
  <dcterms:modified xsi:type="dcterms:W3CDTF">2026-08-20T08:39:34Z</dcterms:modified>
  <dc:language>en-US</dc:language>
</cp:coreProperties>
</file>